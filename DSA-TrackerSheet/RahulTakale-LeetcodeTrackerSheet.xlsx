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369d508155d497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eb0d885d7d534d4e"/>
    <x:sheet xmlns:r="http://schemas.openxmlformats.org/officeDocument/2006/relationships" name="500 Problem Plan" sheetId="2" r:id="Re657037dbde7481d"/>
    <x:sheet xmlns:r="http://schemas.openxmlformats.org/officeDocument/2006/relationships" name="Topic Summary" sheetId="3" r:id="Rd87a9c3fc3d44053"/>
    <x:sheet xmlns:r="http://schemas.openxmlformats.org/officeDocument/2006/relationships" name="Solved Import" sheetId="4" r:id="Rc607b3fa54f9470d"/>
    <x:sheet xmlns:r="http://schemas.openxmlformats.org/officeDocument/2006/relationships" name="How to Use" sheetId="5" r:id="R37f796516f20408f"/>
    <x:sheet xmlns:r="http://schemas.openxmlformats.org/officeDocument/2006/relationships" name="Topic Wise Blocks" sheetId="6" r:id="R987a4122d0964ca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dd-mmm-yyyy"/>
    <x:numFmt numFmtId="201" formatCode="0%"/>
    <x:numFmt numFmtId="202" formatCode="0"/>
    <x:numFmt numFmtId="203" formatCode="0.0%"/>
  </x:numFmts>
  <x:fonts count="39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sz val="11"/>
      <x:color rgb="FF111827"/>
      <x:name val="Carlito"/>
    </x:font>
    <x:font>
      <x:b/>
      <x:sz val="11"/>
      <x:color rgb="FF92400E"/>
      <x:name val="Carlito"/>
    </x:font>
    <x:font>
      <x:b/>
      <x:sz val="14"/>
      <x:color rgb="FFFFFFFF"/>
      <x:name val="Carlito"/>
    </x:font>
    <x:font>
      <x:sz val="11"/>
      <x:color rgb="FF111827"/>
      <x:name val="Carlito"/>
    </x:font>
    <x:font>
      <x:b/>
      <x:sz val="12"/>
      <x:color rgb="FFFFFFFF"/>
      <x:name val="Carlito"/>
    </x:font>
    <x:font>
      <x:b/>
      <x:sz val="11"/>
      <x:color rgb="FF111827"/>
      <x:name val="Carlito"/>
    </x:font>
    <x:font>
      <x:b/>
      <x:sz val="18"/>
      <x:color rgb="FFFFFFFF"/>
      <x:name val="Carlito"/>
    </x:font>
    <x:font>
      <x:b/>
      <x:sz val="11"/>
      <x:color rgb="FF075985"/>
      <x:name val="Carlito"/>
    </x:font>
    <x:font>
      <x:b/>
      <x:sz val="11"/>
      <x:color rgb="FF334155"/>
      <x:name val="Carlito"/>
    </x:font>
    <x:font>
      <x:sz val="11"/>
      <x:color rgb="FF0F172A"/>
      <x:name val="Carlito"/>
    </x:font>
    <x:font>
      <x:b/>
      <x:sz val="12"/>
      <x:color rgb="FF14532D"/>
      <x:name val="Carlito"/>
    </x:font>
    <x:font>
      <x:b/>
      <x:sz val="11"/>
      <x:color rgb="FF581C87"/>
      <x:name val="Carlito"/>
    </x:font>
    <x:font>
      <x:b/>
      <x:sz val="11"/>
      <x:color rgb="FFEA580C"/>
      <x:name val="Carlito"/>
    </x:font>
    <x:font>
      <x:b/>
      <x:sz val="14"/>
      <x:color rgb="FF0F766E"/>
      <x:name val="Carlito"/>
    </x:font>
    <x:font>
      <x:b/>
      <x:sz val="11"/>
      <x:color rgb="FF0F766E"/>
      <x:name val="Carlito"/>
    </x:font>
    <x:font>
      <x:b/>
      <x:sz val="11"/>
      <x:color rgb="FF1E3A8A"/>
      <x:name val="Carlito"/>
    </x:font>
    <x:font>
      <x:b/>
      <x:sz val="11"/>
      <x:color rgb="FF9A3412"/>
      <x:name val="Carlito"/>
    </x:font>
    <x:font>
      <x:b/>
      <x:sz val="16"/>
      <x:color rgb="FFFFFFFF"/>
      <x:name val="Calibri"/>
    </x:font>
    <x:font>
      <x:sz val="11"/>
      <x:name val="Calibri"/>
    </x:font>
    <x:font>
      <x:b/>
      <x:sz val="18"/>
      <x:color rgb="FFFFFFFF"/>
      <x:name val="Calibri"/>
    </x:font>
    <x:font>
      <x:b/>
      <x:sz val="11"/>
      <x:color rgb="FFFFFFFF"/>
      <x:name val="Calibri"/>
    </x:font>
    <x:font>
      <x:b/>
      <x:sz val="11"/>
      <x:color rgb="FF075985"/>
      <x:name val="Calibri"/>
    </x:font>
    <x:font>
      <x:sz val="11"/>
      <x:color rgb="FF111827"/>
      <x:name val="Calibri"/>
    </x:font>
    <x:font>
      <x:b/>
      <x:sz val="12"/>
      <x:color rgb="FFFFFFFF"/>
      <x:name val="Calibri"/>
    </x:font>
    <x:font>
      <x:b/>
      <x:sz val="11"/>
      <x:color rgb="FF334155"/>
      <x:name val="Calibri"/>
    </x:font>
    <x:font>
      <x:sz val="11"/>
      <x:color rgb="FF0F172A"/>
      <x:name val="Calibri"/>
    </x:font>
    <x:font>
      <x:b/>
      <x:sz val="12"/>
      <x:color rgb="FF14532D"/>
      <x:name val="Calibri"/>
    </x:font>
    <x:font>
      <x:b/>
      <x:sz val="11"/>
      <x:color rgb="FF581C87"/>
      <x:name val="Calibri"/>
    </x:font>
    <x:font>
      <x:b/>
      <x:sz val="11"/>
      <x:color rgb="FFEA580C"/>
      <x:name val="Calibri"/>
    </x:font>
    <x:font>
      <x:b/>
      <x:sz val="11"/>
      <x:color rgb="FF92400E"/>
      <x:name val="Calibri"/>
    </x:font>
    <x:font>
      <x:b/>
      <x:sz val="14"/>
      <x:color rgb="FF0F766E"/>
      <x:name val="Calibri"/>
    </x:font>
    <x:font>
      <x:b/>
      <x:sz val="11"/>
      <x:color rgb="FF0F766E"/>
      <x:name val="Calibri"/>
    </x:font>
    <x:font>
      <x:b/>
      <x:sz val="11"/>
      <x:color rgb="FF1E3A8A"/>
      <x:name val="Calibri"/>
    </x:font>
    <x:font>
      <x:b/>
      <x:sz val="11"/>
      <x:color rgb="FF9A3412"/>
      <x:name val="Calibri"/>
    </x:font>
    <x:font>
      <x:b/>
      <x:sz val="12"/>
      <x:color rgb="FF1E3A8A"/>
      <x:name val="Carlito"/>
    </x:font>
    <x:font>
      <x:sz val="11"/>
      <x:color rgb="FF111827"/>
      <x:name val="Calibri"/>
    </x:font>
  </x:fonts>
  <x:fills count="23">
    <x:fill>
      <x:patternFill patternType="none"/>
    </x:fill>
    <x:fill>
      <x:patternFill patternType="gray125"/>
    </x:fill>
    <x:fill>
      <x:patternFill patternType="solid">
        <x:fgColor rgb="FF111827"/>
      </x:patternFill>
    </x:fill>
    <x:fill>
      <x:patternFill patternType="solid">
        <x:fgColor rgb="FF2563EB"/>
      </x:patternFill>
    </x:fill>
    <x:fill>
      <x:patternFill patternType="solid">
        <x:fgColor rgb="FF16A34A"/>
      </x:patternFill>
    </x:fill>
    <x:fill>
      <x:patternFill patternType="solid">
        <x:fgColor rgb="FFF9FAFB"/>
      </x:patternFill>
    </x:fill>
    <x:fill>
      <x:patternFill patternType="solid">
        <x:fgColor rgb="FFFEF3C7"/>
      </x:patternFill>
    </x:fill>
    <x:fill>
      <x:patternFill patternType="solid">
        <x:fgColor rgb="FFE5E7EB"/>
      </x:patternFill>
    </x:fill>
    <x:fill>
      <x:patternFill patternType="solid">
        <x:fgColor rgb="FF0F172A"/>
      </x:patternFill>
    </x:fill>
    <x:fill>
      <x:patternFill patternType="solid">
        <x:fgColor rgb="FFE0F2FE"/>
      </x:patternFill>
    </x:fill>
    <x:fill>
      <x:patternFill patternType="solid">
        <x:fgColor rgb="FF2563EB"/>
      </x:patternFill>
    </x:fill>
    <x:fill>
      <x:patternFill patternType="solid">
        <x:fgColor rgb="FF16A34A"/>
      </x:patternFill>
    </x:fill>
    <x:fill>
      <x:patternFill patternType="solid">
        <x:fgColor rgb="FF9333EA"/>
      </x:patternFill>
    </x:fill>
    <x:fill>
      <x:patternFill patternType="solid">
        <x:fgColor rgb="FFEA580C"/>
      </x:patternFill>
    </x:fill>
    <x:fill>
      <x:patternFill patternType="solid">
        <x:fgColor rgb="FFF8FAFC"/>
      </x:patternFill>
    </x:fill>
    <x:fill>
      <x:patternFill patternType="solid">
        <x:fgColor rgb="FF0F766E"/>
      </x:patternFill>
    </x:fill>
    <x:fill>
      <x:patternFill patternType="solid">
        <x:fgColor rgb="FF1E40AF"/>
      </x:patternFill>
    </x:fill>
    <x:fill>
      <x:patternFill patternType="solid">
        <x:fgColor rgb="FFDBEAFE"/>
      </x:patternFill>
    </x:fill>
    <x:fill>
      <x:patternFill patternType="solid">
        <x:fgColor rgb="FFFFF7ED"/>
      </x:patternFill>
    </x:fill>
    <x:fill>
      <x:patternFill patternType="solid">
        <x:fgColor rgb="FF0F172A"/>
      </x:patternFill>
    </x:fill>
    <x:fill>
      <x:patternFill patternType="solid">
        <x:fgColor rgb="FFDBEAFE"/>
      </x:patternFill>
    </x:fill>
    <x:fill>
      <x:patternFill patternType="solid">
        <x:fgColor rgb="FF16A34A"/>
      </x:patternFill>
    </x:fill>
    <x:fill>
      <x:patternFill patternType="solid">
        <x:fgColor rgb="FFFEF3C7"/>
      </x:patternFill>
    </x:fill>
  </x:fills>
  <x:borders count="2">
    <x:border/>
    <x:border/>
  </x:borders>
  <x:cellStyleXfs count="1">
    <x:xf numFmtId="0" fontId="0" fillId="0" borderId="0"/>
  </x:cellStyleXfs>
  <x:cellXfs count="24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0" fillId="4" borderId="1" xfId="0" applyNumberFormat="1" applyFont="1" applyFill="1" applyBorder="1"/>
    <x:xf numFmtId="0" fontId="2" fillId="4" borderId="1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0" fillId="5" borderId="1" xfId="0" applyNumberFormat="1" applyFont="1" applyFill="1" applyBorder="1"/>
    <x:xf numFmtId="0" fontId="3" fillId="5" borderId="1" xfId="0" applyNumberFormat="1" applyFont="1" applyFill="1" applyBorder="1"/>
    <x:xf numFmtId="200" fontId="3" fillId="5" borderId="0" xfId="0" applyNumberFormat="1" applyFont="1" applyFill="1" applyBorder="1"/>
    <x:xf numFmtId="200" fontId="3" fillId="5" borderId="1" xfId="0" applyNumberFormat="1" applyFont="1" applyFill="1" applyBorder="1"/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0" fillId="6" borderId="1" xfId="0" applyNumberFormat="1" applyFont="1" applyFill="1" applyBorder="1"/>
    <x:xf numFmtId="0" fontId="4" fillId="6" borderId="1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2" fillId="2" borderId="0" xfId="0" applyNumberFormat="1" applyFont="1" applyFill="1" applyBorder="1" applyAlignment="1">
      <x:alignment horizontal="center" wrapText="1"/>
    </x:xf>
    <x:xf numFmtId="200" fontId="0" fillId="0" borderId="0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horizontal="center"/>
    </x:xf>
    <x:xf numFmtId="0" fontId="5" fillId="2" borderId="1" xfId="0" applyNumberFormat="1" applyFont="1" applyFill="1" applyBorder="1"/>
    <x:xf numFmtId="0" fontId="5" fillId="2" borderId="1" xfId="0" applyNumberFormat="1" applyFont="1" applyFill="1" applyBorder="1" applyAlignment="1">
      <x:alignment horizontal="center"/>
    </x:xf>
    <x:xf numFmtId="0" fontId="2" fillId="4" borderId="0" xfId="0" applyNumberFormat="1" applyFont="1" applyFill="1" applyBorder="1" applyAlignment="1">
      <x:alignment wrapText="1"/>
    </x:xf>
    <x:xf numFmtId="0" fontId="2" fillId="4" borderId="1" xfId="0" applyNumberFormat="1" applyFont="1" applyFill="1" applyBorder="1" applyAlignment="1">
      <x:alignment wrapText="1"/>
    </x:xf>
    <x:xf numFmtId="0" fontId="6" fillId="5" borderId="0" xfId="0" applyNumberFormat="1" applyFont="1" applyFill="1" applyBorder="1"/>
    <x:xf numFmtId="0" fontId="6" fillId="5" borderId="1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wrapText="1"/>
    </x:xf>
    <x:xf numFmtId="0" fontId="5" fillId="2" borderId="1" xfId="0" applyNumberFormat="1" applyFont="1" applyFill="1" applyBorder="1" applyAlignment="1">
      <x:alignment wrapText="1"/>
    </x:xf>
    <x:xf numFmtId="0" fontId="6" fillId="5" borderId="1" xfId="0" applyNumberFormat="1" applyFont="1" applyFill="1" applyBorder="1" applyAlignment="1">
      <x:alignment wrapText="1"/>
    </x:xf>
    <x:xf numFmtId="202" fontId="3" fillId="5" borderId="0" xfId="0" applyNumberFormat="1" applyFont="1" applyFill="1" applyBorder="1"/>
    <x:xf numFmtId="202" fontId="3" fillId="5" borderId="1" xfId="0" applyNumberFormat="1" applyFont="1" applyFill="1" applyBorder="1"/>
    <x:xf numFmtId="0" fontId="7" fillId="3" borderId="0" xfId="0" applyNumberFormat="1" applyFont="1" applyFill="1" applyBorder="1"/>
    <x:xf numFmtId="0" fontId="7" fillId="3" borderId="0" xfId="0" applyNumberFormat="1" applyFont="1" applyFill="1" applyBorder="1" applyAlignment="1">
      <x:alignment horizontal="left"/>
    </x:xf>
    <x:xf numFmtId="0" fontId="7" fillId="3" borderId="1" xfId="0" applyNumberFormat="1" applyFont="1" applyFill="1" applyBorder="1"/>
    <x:xf numFmtId="0" fontId="7" fillId="3" borderId="1" xfId="0" applyNumberFormat="1" applyFont="1" applyFill="1" applyBorder="1" applyAlignment="1">
      <x:alignment horizontal="left"/>
    </x:xf>
    <x:xf numFmtId="0" fontId="0" fillId="7" borderId="0" xfId="0" applyNumberFormat="1" applyFont="1" applyFill="1" applyBorder="1"/>
    <x:xf numFmtId="0" fontId="8" fillId="7" borderId="0" xfId="0" applyNumberFormat="1" applyFont="1" applyFill="1" applyBorder="1"/>
    <x:xf numFmtId="0" fontId="0" fillId="7" borderId="1" xfId="0" applyNumberFormat="1" applyFont="1" applyFill="1" applyBorder="1"/>
    <x:xf numFmtId="0" fontId="8" fillId="7" borderId="1" xfId="0" applyNumberFormat="1" applyFont="1" applyFill="1" applyBorder="1"/>
    <x:xf numFmtId="0" fontId="5" fillId="2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2" fillId="8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/>
    <x:xf numFmtId="0" fontId="9" fillId="8" borderId="0" xfId="0" applyNumberFormat="1" applyFont="1" applyFill="1" applyBorder="1"/>
    <x:xf numFmtId="0" fontId="9" fillId="8" borderId="0" xfId="0" applyNumberFormat="1" applyFont="1" applyFill="1" applyBorder="1" applyAlignment="1">
      <x:alignment wrapText="1"/>
    </x:xf>
    <x:xf numFmtId="0" fontId="9" fillId="8" borderId="0" xfId="0" applyNumberFormat="1" applyFont="1" applyFill="1" applyBorder="1" applyAlignment="1">
      <x:alignment horizontal="center"/>
    </x:xf>
    <x:xf numFmtId="0" fontId="9" fillId="8" borderId="0" xfId="0" applyNumberFormat="1" applyFont="1" applyFill="1" applyBorder="1" applyAlignment="1">
      <x:alignment horizontal="center" wrapText="1"/>
    </x:xf>
    <x:xf numFmtId="0" fontId="9" fillId="8" borderId="0" xfId="0" applyNumberFormat="1" applyFont="1" applyFill="1" applyBorder="1" applyAlignment="1">
      <x:alignment horizontal="center" vertical="center"/>
    </x:xf>
    <x:xf numFmtId="0" fontId="9" fillId="8" borderId="0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10" fillId="9" borderId="0" xfId="0" applyNumberFormat="1" applyFont="1" applyFill="1" applyBorder="1" applyAlignment="1">
      <x:alignment wrapText="1"/>
    </x:xf>
    <x:xf numFmtId="0" fontId="10" fillId="9" borderId="0" xfId="0" applyNumberFormat="1" applyFont="1" applyFill="1" applyBorder="1"/>
    <x:xf numFmtId="0" fontId="10" fillId="9" borderId="0" xfId="0" applyNumberFormat="1" applyFont="1" applyFill="1" applyBorder="1" applyAlignment="1">
      <x:alignment horizontal="center" wrapText="1"/>
    </x:xf>
    <x:xf numFmtId="0" fontId="10" fillId="9" borderId="0" xfId="0" applyNumberFormat="1" applyFont="1" applyFill="1" applyBorder="1" applyAlignment="1">
      <x:alignment horizontal="center"/>
    </x:xf>
    <x:xf numFmtId="0" fontId="0" fillId="10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7" fillId="10" borderId="0" xfId="0" applyNumberFormat="1" applyFont="1" applyFill="1" applyBorder="1" applyAlignment="1">
      <x:alignment wrapText="1"/>
    </x:xf>
    <x:xf numFmtId="0" fontId="7" fillId="10" borderId="0" xfId="0" applyNumberFormat="1" applyFont="1" applyFill="1" applyBorder="1"/>
    <x:xf numFmtId="0" fontId="7" fillId="10" borderId="0" xfId="0" applyNumberFormat="1" applyFont="1" applyFill="1" applyBorder="1" applyAlignment="1">
      <x:alignment horizontal="center" wrapText="1"/>
    </x:xf>
    <x:xf numFmtId="0" fontId="7" fillId="10" borderId="0" xfId="0" applyNumberFormat="1" applyFont="1" applyFill="1" applyBorder="1" applyAlignment="1">
      <x:alignment horizontal="center"/>
    </x:xf>
    <x:xf numFmtId="0" fontId="7" fillId="10" borderId="0" xfId="0" applyNumberFormat="1" applyFont="1" applyFill="1" applyBorder="1" applyAlignment="1">
      <x:alignment horizontal="center" vertical="center" wrapText="1"/>
    </x:xf>
    <x:xf numFmtId="0" fontId="7" fillId="10" borderId="0" xfId="0" applyNumberFormat="1" applyFont="1" applyFill="1" applyBorder="1" applyAlignment="1">
      <x:alignment horizontal="center" vertical="center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0" fillId="12" borderId="0" xfId="0" applyNumberFormat="1" applyFont="1" applyFill="1" applyBorder="1"/>
    <x:xf numFmtId="0" fontId="7" fillId="12" borderId="0" xfId="0" applyNumberFormat="1" applyFont="1" applyFill="1" applyBorder="1"/>
    <x:xf numFmtId="0" fontId="7" fillId="12" borderId="0" xfId="0" applyNumberFormat="1" applyFont="1" applyFill="1" applyBorder="1" applyAlignment="1">
      <x:alignment horizontal="center"/>
    </x:xf>
    <x:xf numFmtId="0" fontId="7" fillId="12" borderId="0" xfId="0" applyNumberFormat="1" applyFont="1" applyFill="1" applyBorder="1" applyAlignment="1">
      <x:alignment horizontal="center" vertical="center"/>
    </x:xf>
    <x:xf numFmtId="0" fontId="0" fillId="13" borderId="0" xfId="0" applyNumberFormat="1" applyFont="1" applyFill="1" applyBorder="1"/>
    <x:xf numFmtId="0" fontId="7" fillId="13" borderId="0" xfId="0" applyNumberFormat="1" applyFont="1" applyFill="1" applyBorder="1"/>
    <x:xf numFmtId="0" fontId="7" fillId="13" borderId="0" xfId="0" applyNumberFormat="1" applyFont="1" applyFill="1" applyBorder="1" applyAlignment="1">
      <x:alignment horizontal="center"/>
    </x:xf>
    <x:xf numFmtId="0" fontId="7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 applyAlignment="1">
      <x:alignment wrapText="1"/>
    </x:xf>
    <x:xf numFmtId="0" fontId="0" fillId="14" borderId="0" xfId="0" applyNumberFormat="1" applyFont="1" applyFill="1" applyBorder="1"/>
    <x:xf numFmtId="0" fontId="3" fillId="14" borderId="0" xfId="0" applyNumberFormat="1" applyFont="1" applyFill="1" applyBorder="1"/>
    <x:xf numFmtId="0" fontId="0" fillId="14" xfId="0" applyNumberFormat="1" applyFont="1" applyFill="1" applyBorder="0" applyAlignment="1">
      <x:alignment wrapText="1"/>
    </x:xf>
    <x:xf numFmtId="0" fontId="0" fillId="14" xfId="0" applyNumberFormat="1" applyFont="1" applyFill="1" applyBorder="0"/>
    <x:xf numFmtId="0" fontId="3" fillId="14" xfId="0" applyNumberFormat="1" applyFont="1" applyFill="1" applyBorder="0"/>
    <x:xf numFmtId="0" fontId="3" fillId="14" xfId="0" applyNumberFormat="1" applyFont="1" applyFill="1" applyBorder="0" applyAlignment="1">
      <x:alignment wrapText="1"/>
    </x:xf>
    <x:xf numFmtId="0" fontId="0" fillId="14" xfId="0" applyNumberFormat="1" applyFont="1" applyFill="1" applyBorder="0" applyAlignment="1">
      <x:alignment vertical="center" wrapText="1"/>
    </x:xf>
    <x:xf numFmtId="0" fontId="3" fillId="14" xfId="0" applyNumberFormat="1" applyFont="1" applyFill="1" applyBorder="0" applyAlignment="1">
      <x:alignment vertical="center" wrapText="1"/>
    </x:xf>
    <x:xf numFmtId="0" fontId="11" fillId="14" xfId="0" applyNumberFormat="1" applyFont="1" applyFill="1" applyBorder="0" applyAlignment="1">
      <x:alignment vertical="center" wrapText="1"/>
    </x:xf>
    <x:xf numFmtId="0" fontId="12" fillId="14" xfId="0" applyNumberFormat="1" applyFont="1" applyFill="1" applyBorder="0" applyAlignment="1">
      <x:alignment vertical="center" wrapText="1"/>
    </x:xf>
    <x:xf numFmtId="0" fontId="13" fillId="14" xfId="0" applyNumberFormat="1" applyFont="1" applyFill="1" applyBorder="0" applyAlignment="1">
      <x:alignment vertical="center" wrapText="1"/>
    </x:xf>
    <x:xf numFmtId="0" fontId="13" fillId="14" xfId="0" applyNumberFormat="1" applyFont="1" applyFill="1" applyBorder="0" applyAlignment="1">
      <x:alignment horizontal="center" vertical="center" wrapText="1"/>
    </x:xf>
    <x:xf numFmtId="0" fontId="0" fillId="14" xfId="0" applyNumberFormat="1" applyFont="1" applyFill="1" applyBorder="0" applyAlignment="1">
      <x:alignment horizontal="center" vertical="center" wrapText="1"/>
    </x:xf>
    <x:xf numFmtId="200" fontId="0" fillId="14" xfId="0" applyNumberFormat="1" applyFont="1" applyFill="1" applyBorder="0" applyAlignment="1">
      <x:alignment vertical="center" wrapText="1"/>
    </x:xf>
    <x:xf numFmtId="0" fontId="14" fillId="14" xfId="0" applyNumberFormat="1" applyFont="1" applyFill="1" applyBorder="0" applyAlignment="1">
      <x:alignment vertical="center" wrapText="1"/>
    </x:xf>
    <x:xf numFmtId="200" fontId="14" fillId="14" xfId="0" applyNumberFormat="1" applyFont="1" applyFill="1" applyBorder="0" applyAlignment="1">
      <x:alignment vertical="center" wrapText="1"/>
    </x:xf>
    <x:xf numFmtId="0" fontId="14" fillId="14" xfId="0" applyNumberFormat="1" applyFont="1" applyFill="1" applyBorder="0" applyAlignment="1">
      <x:alignment horizontal="center" vertical="center" wrapText="1"/>
    </x:xf>
    <x:xf numFmtId="200" fontId="14" fillId="14" xfId="0" applyNumberFormat="1" applyFont="1" applyFill="1" applyBorder="0" applyAlignment="1">
      <x:alignment horizontal="center" vertical="center" wrapText="1"/>
    </x:xf>
    <x:xf numFmtId="0" fontId="15" fillId="14" xfId="0" applyNumberFormat="1" applyFont="1" applyFill="1" applyBorder="0" applyAlignment="1">
      <x:alignment vertical="center" wrapText="1"/>
    </x:xf>
    <x:xf numFmtId="0" fontId="15" fillId="14" xfId="0" applyNumberFormat="1" applyFont="1" applyFill="1" applyBorder="0" applyAlignment="1">
      <x:alignment horizontal="center" vertical="center" wrapText="1"/>
    </x:xf>
    <x:xf numFmtId="0" fontId="0" fillId="15" borderId="0" xfId="0" applyNumberFormat="1" applyFont="1" applyFill="1" applyBorder="1"/>
    <x:xf numFmtId="0" fontId="7" fillId="15" borderId="0" xfId="0" applyNumberFormat="1" applyFont="1" applyFill="1" applyBorder="1"/>
    <x:xf numFmtId="0" fontId="7" fillId="15" borderId="0" xfId="0" applyNumberFormat="1" applyFont="1" applyFill="1" applyBorder="1" applyAlignment="1">
      <x:alignment horizontal="center"/>
    </x:xf>
    <x:xf numFmtId="0" fontId="7" fillId="15" borderId="0" xfId="0" applyNumberFormat="1" applyFont="1" applyFill="1" applyBorder="1" applyAlignment="1">
      <x:alignment horizontal="center" vertical="center"/>
    </x:xf>
    <x:xf numFmtId="203" fontId="0" fillId="14" xfId="0" applyNumberFormat="1" applyFont="1" applyFill="1" applyBorder="0" applyAlignment="1">
      <x:alignment vertical="center" wrapText="1"/>
    </x:xf>
    <x:xf numFmtId="0" fontId="16" fillId="14" xfId="0" applyNumberFormat="1" applyFont="1" applyFill="1" applyBorder="0" applyAlignment="1">
      <x:alignment vertical="center" wrapText="1"/>
    </x:xf>
    <x:xf numFmtId="203" fontId="16" fillId="14" xfId="0" applyNumberFormat="1" applyFont="1" applyFill="1" applyBorder="0" applyAlignment="1">
      <x:alignment vertical="center" wrapText="1"/>
    </x:xf>
    <x:xf numFmtId="0" fontId="16" fillId="14" xfId="0" applyNumberFormat="1" applyFont="1" applyFill="1" applyBorder="0" applyAlignment="1">
      <x:alignment horizontal="center" vertical="center" wrapText="1"/>
    </x:xf>
    <x:xf numFmtId="203" fontId="16" fillId="14" xfId="0" applyNumberFormat="1" applyFont="1" applyFill="1" applyBorder="0" applyAlignment="1">
      <x:alignment horizontal="center" vertical="center" wrapText="1"/>
    </x:xf>
    <x:xf numFmtId="0" fontId="17" fillId="14" xfId="0" applyNumberFormat="1" applyFont="1" applyFill="1" applyBorder="0" applyAlignment="1">
      <x:alignment vertical="center" wrapText="1"/>
    </x:xf>
    <x:xf numFmtId="0" fontId="17" fillId="14" xfId="0" applyNumberFormat="1" applyFont="1" applyFill="1" applyBorder="0" applyAlignment="1">
      <x:alignment horizontal="center" vertical="center" wrapText="1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horizontal="center"/>
    </x:xf>
    <x:xf numFmtId="0" fontId="7" fillId="16" borderId="0" xfId="0" applyNumberFormat="1" applyFont="1" applyFill="1" applyBorder="1" applyAlignment="1">
      <x:alignment horizontal="center" vertical="center"/>
    </x:xf>
    <x:xf numFmtId="0" fontId="0" fillId="17" borderId="0" xfId="0" applyNumberFormat="1" applyFont="1" applyFill="1" applyBorder="1"/>
    <x:xf numFmtId="0" fontId="18" fillId="17" borderId="0" xfId="0" applyNumberFormat="1" applyFont="1" applyFill="1" applyBorder="1"/>
    <x:xf numFmtId="0" fontId="18" fillId="17" borderId="0" xfId="0" applyNumberFormat="1" applyFont="1" applyFill="1" applyBorder="1" applyAlignment="1">
      <x:alignment horizontal="center"/>
    </x:xf>
    <x:xf numFmtId="0" fontId="18" fillId="17" xfId="0" applyNumberFormat="1" applyFont="1" applyFill="1" applyBorder="0" applyAlignment="1">
      <x:alignment horizontal="center"/>
    </x:xf>
    <x:xf numFmtId="0" fontId="0" fillId="0" xfId="0" applyNumberFormat="1" applyFont="1" applyFill="1" applyBorder="0"/>
    <x:xf numFmtId="0" fontId="18" fillId="17" xfId="0" applyNumberFormat="1" applyFont="1" applyFill="1" applyBorder="0" applyAlignment="1">
      <x:alignment horizontal="center" wrapText="1"/>
    </x:xf>
    <x:xf numFmtId="0" fontId="0" fillId="0" xfId="0" applyNumberFormat="1" applyFont="1" applyFill="1" applyBorder="0" applyAlignment="1">
      <x:alignment wrapText="1"/>
    </x:xf>
    <x:xf numFmtId="0" fontId="18" fillId="17" xfId="0" applyNumberFormat="1" applyFont="1" applyFill="1" applyBorder="0" applyAlignment="1">
      <x:alignment horizontal="center" vertical="center" wrapText="1"/>
    </x:xf>
    <x:xf numFmtId="0" fontId="0" fillId="0" xfId="0" applyNumberFormat="1" applyFont="1" applyFill="1" applyBorder="0" applyAlignment="1">
      <x:alignment vertical="center" wrapText="1"/>
    </x:xf>
    <x:xf numFmtId="201" fontId="0" fillId="0" xfId="0" applyNumberFormat="1" applyFont="1" applyFill="1" applyBorder="0" applyAlignment="1">
      <x:alignment vertical="center" wrapText="1"/>
    </x:xf>
    <x:xf numFmtId="0" fontId="0" fillId="18" borderId="0" xfId="0" applyNumberFormat="1" applyFont="1" applyFill="1" applyBorder="1"/>
    <x:xf numFmtId="0" fontId="19" fillId="18" borderId="0" xfId="0" applyNumberFormat="1" applyFont="1" applyFill="1" applyBorder="1"/>
    <x:xf numFmtId="0" fontId="19" fillId="18" borderId="0" xfId="0" applyNumberFormat="1" applyFont="1" applyFill="1" applyBorder="1" applyAlignment="1">
      <x:alignment wrapText="1"/>
    </x:xf>
    <x:xf numFmtId="0" fontId="19" fillId="18" borderId="0" xfId="0" applyNumberFormat="1" applyFont="1" applyFill="1" applyBorder="1" applyAlignment="1">
      <x:alignment horizontal="center" wrapText="1"/>
    </x:xf>
    <x:xf numFmtId="0" fontId="19" fillId="18" borderId="0" xfId="0" applyNumberFormat="1" applyFont="1" applyFill="1" applyBorder="1" applyAlignment="1">
      <x:alignment horizontal="center" vertical="center" wrapText="1"/>
    </x:xf>
    <x:xf numFmtId="0" fontId="20" fillId="2" borderId="0" xfId="0" applyNumberFormat="1" applyFont="1" applyFill="1" applyBorder="1" applyAlignment="1">
      <x:alignment horizontal="center" vertical="center"/>
    </x:xf>
    <x:xf numFmtId="0" fontId="21" fillId="0" borderId="0" xfId="0" applyNumberFormat="1" applyFont="1" applyFill="1" applyBorder="1"/>
    <x:xf numFmtId="0" fontId="22" fillId="8" borderId="0" xfId="0" applyNumberFormat="1" applyFont="1" applyFill="1" applyBorder="1" applyAlignment="1">
      <x:alignment horizontal="center" vertical="center"/>
    </x:xf>
    <x:xf numFmtId="0" fontId="23" fillId="3" borderId="0" xfId="0" applyNumberFormat="1" applyFont="1" applyFill="1" applyBorder="1" applyAlignment="1">
      <x:alignment wrapText="1"/>
    </x:xf>
    <x:xf numFmtId="0" fontId="22" fillId="8" borderId="0" xfId="0" applyNumberFormat="1" applyFont="1" applyFill="1" applyBorder="1" applyAlignment="1">
      <x:alignment horizontal="center" vertical="center" wrapText="1"/>
    </x:xf>
    <x:xf numFmtId="0" fontId="21" fillId="0" borderId="0" xfId="0" applyNumberFormat="1" applyFont="1" applyFill="1" applyBorder="1" applyAlignment="1">
      <x:alignment wrapText="1"/>
    </x:xf>
    <x:xf numFmtId="0" fontId="24" fillId="9" borderId="0" xfId="0" applyNumberFormat="1" applyFont="1" applyFill="1" applyBorder="1" applyAlignment="1">
      <x:alignment horizontal="center" wrapText="1"/>
    </x:xf>
    <x:xf numFmtId="0" fontId="24" fillId="9" borderId="0" xfId="0" applyNumberFormat="1" applyFont="1" applyFill="1" applyBorder="1" applyAlignment="1">
      <x:alignment horizontal="center"/>
    </x:xf>
    <x:xf numFmtId="0" fontId="25" fillId="5" borderId="0" xfId="0" applyNumberFormat="1" applyFont="1" applyFill="1" applyBorder="1"/>
    <x:xf numFmtId="0" fontId="26" fillId="10" borderId="0" xfId="0" applyNumberFormat="1" applyFont="1" applyFill="1" applyBorder="1" applyAlignment="1">
      <x:alignment horizontal="center" vertical="center" wrapText="1"/>
    </x:xf>
    <x:xf numFmtId="0" fontId="26" fillId="10" borderId="0" xfId="0" applyNumberFormat="1" applyFont="1" applyFill="1" applyBorder="1" applyAlignment="1">
      <x:alignment horizontal="center" vertical="center"/>
    </x:xf>
    <x:xf numFmtId="202" fontId="25" fillId="5" borderId="0" xfId="0" applyNumberFormat="1" applyFont="1" applyFill="1" applyBorder="1"/>
    <x:xf numFmtId="0" fontId="26" fillId="11" borderId="0" xfId="0" applyNumberFormat="1" applyFont="1" applyFill="1" applyBorder="1" applyAlignment="1">
      <x:alignment horizontal="center" vertical="center"/>
    </x:xf>
    <x:xf numFmtId="0" fontId="26" fillId="12" borderId="0" xfId="0" applyNumberFormat="1" applyFont="1" applyFill="1" applyBorder="1" applyAlignment="1">
      <x:alignment horizontal="center" vertical="center"/>
    </x:xf>
    <x:xf numFmtId="0" fontId="26" fillId="13" borderId="0" xfId="0" applyNumberFormat="1" applyFont="1" applyFill="1" applyBorder="1" applyAlignment="1">
      <x:alignment horizontal="center" vertical="center"/>
    </x:xf>
    <x:xf numFmtId="0" fontId="27" fillId="14" xfId="0" applyNumberFormat="1" applyFont="1" applyFill="1" applyBorder="0" applyAlignment="1">
      <x:alignment vertical="center" wrapText="1"/>
    </x:xf>
    <x:xf numFmtId="0" fontId="28" fillId="14" xfId="0" applyNumberFormat="1" applyFont="1" applyFill="1" applyBorder="0" applyAlignment="1">
      <x:alignment vertical="center" wrapText="1"/>
    </x:xf>
    <x:xf numFmtId="0" fontId="21" fillId="14" xfId="0" applyNumberFormat="1" applyFont="1" applyFill="1" applyBorder="0" applyAlignment="1">
      <x:alignment horizontal="center" vertical="center" wrapText="1"/>
    </x:xf>
    <x:xf numFmtId="0" fontId="29" fillId="14" xfId="0" applyNumberFormat="1" applyFont="1" applyFill="1" applyBorder="0" applyAlignment="1">
      <x:alignment horizontal="center" vertical="center" wrapText="1"/>
    </x:xf>
    <x:xf numFmtId="0" fontId="30" fillId="14" xfId="0" applyNumberFormat="1" applyFont="1" applyFill="1" applyBorder="0" applyAlignment="1">
      <x:alignment horizontal="center" vertical="center" wrapText="1"/>
    </x:xf>
    <x:xf numFmtId="200" fontId="30" fillId="14" xfId="0" applyNumberFormat="1" applyFont="1" applyFill="1" applyBorder="0" applyAlignment="1">
      <x:alignment horizontal="center" vertical="center" wrapText="1"/>
    </x:xf>
    <x:xf numFmtId="0" fontId="31" fillId="14" xfId="0" applyNumberFormat="1" applyFont="1" applyFill="1" applyBorder="0" applyAlignment="1">
      <x:alignment horizontal="center" vertical="center" wrapText="1"/>
    </x:xf>
    <x:xf numFmtId="0" fontId="21" fillId="14" xfId="0" applyNumberFormat="1" applyFont="1" applyFill="1" applyBorder="0" applyAlignment="1">
      <x:alignment vertical="center" wrapText="1"/>
    </x:xf>
    <x:xf numFmtId="200" fontId="25" fillId="5" borderId="0" xfId="0" applyNumberFormat="1" applyFont="1" applyFill="1" applyBorder="1"/>
    <x:xf numFmtId="0" fontId="32" fillId="6" borderId="0" xfId="0" applyNumberFormat="1" applyFont="1" applyFill="1" applyBorder="1"/>
    <x:xf numFmtId="0" fontId="26" fillId="15" borderId="0" xfId="0" applyNumberFormat="1" applyFont="1" applyFill="1" applyBorder="1" applyAlignment="1">
      <x:alignment horizontal="center" vertical="center"/>
    </x:xf>
    <x:xf numFmtId="0" fontId="33" fillId="14" xfId="0" applyNumberFormat="1" applyFont="1" applyFill="1" applyBorder="0" applyAlignment="1">
      <x:alignment horizontal="center" vertical="center" wrapText="1"/>
    </x:xf>
    <x:xf numFmtId="0" fontId="34" fillId="14" xfId="0" applyNumberFormat="1" applyFont="1" applyFill="1" applyBorder="0" applyAlignment="1">
      <x:alignment horizontal="center" vertical="center" wrapText="1"/>
    </x:xf>
    <x:xf numFmtId="203" fontId="33" fillId="14" xfId="0" applyNumberFormat="1" applyFont="1" applyFill="1" applyBorder="0" applyAlignment="1">
      <x:alignment horizontal="center" vertical="center" wrapText="1"/>
    </x:xf>
    <x:xf numFmtId="0" fontId="26" fillId="16" borderId="0" xfId="0" applyNumberFormat="1" applyFont="1" applyFill="1" applyBorder="1" applyAlignment="1">
      <x:alignment horizontal="center" vertical="center"/>
    </x:xf>
    <x:xf numFmtId="0" fontId="35" fillId="17" xfId="0" applyNumberFormat="1" applyFont="1" applyFill="1" applyBorder="0" applyAlignment="1">
      <x:alignment horizontal="center" vertical="center" wrapText="1"/>
    </x:xf>
    <x:xf numFmtId="0" fontId="21" fillId="0" xfId="0" applyNumberFormat="1" applyFont="1" applyFill="1" applyBorder="0" applyAlignment="1">
      <x:alignment vertical="center" wrapText="1"/>
    </x:xf>
    <x:xf numFmtId="201" fontId="21" fillId="0" xfId="0" applyNumberFormat="1" applyFont="1" applyFill="1" applyBorder="0" applyAlignment="1">
      <x:alignment vertical="center" wrapText="1"/>
    </x:xf>
    <x:xf numFmtId="0" fontId="36" fillId="18" borderId="0" xfId="0" applyNumberFormat="1" applyFont="1" applyFill="1" applyBorder="1" applyAlignment="1">
      <x:alignment horizontal="center" vertical="center" wrapText="1"/>
    </x:xf>
    <x:xf numFmtId="0" fontId="20" fillId="2" borderId="0" xfId="0" applyNumberFormat="1" applyFont="1" applyFill="1" applyBorder="1" applyAlignment="1">
      <x:alignment horizontal="center" vertical="center" wrapText="1"/>
    </x:xf>
    <x:xf numFmtId="0" fontId="25" fillId="5" borderId="0" xfId="0" applyNumberFormat="1" applyFont="1" applyFill="1" applyBorder="1" applyAlignment="1">
      <x:alignment wrapText="1"/>
    </x:xf>
    <x:xf numFmtId="202" fontId="25" fillId="5" borderId="0" xfId="0" applyNumberFormat="1" applyFont="1" applyFill="1" applyBorder="1" applyAlignment="1">
      <x:alignment wrapText="1"/>
    </x:xf>
    <x:xf numFmtId="0" fontId="26" fillId="11" borderId="0" xfId="0" applyNumberFormat="1" applyFont="1" applyFill="1" applyBorder="1" applyAlignment="1">
      <x:alignment horizontal="center" vertical="center" wrapText="1"/>
    </x:xf>
    <x:xf numFmtId="0" fontId="26" fillId="12" borderId="0" xfId="0" applyNumberFormat="1" applyFont="1" applyFill="1" applyBorder="1" applyAlignment="1">
      <x:alignment horizontal="center" vertical="center" wrapText="1"/>
    </x:xf>
    <x:xf numFmtId="0" fontId="26" fillId="13" borderId="0" xfId="0" applyNumberFormat="1" applyFont="1" applyFill="1" applyBorder="1" applyAlignment="1">
      <x:alignment horizontal="center" vertical="center" wrapText="1"/>
    </x:xf>
    <x:xf numFmtId="200" fontId="25" fillId="5" borderId="0" xfId="0" applyNumberFormat="1" applyFont="1" applyFill="1" applyBorder="1" applyAlignment="1">
      <x:alignment wrapText="1"/>
    </x:xf>
    <x:xf numFmtId="0" fontId="32" fillId="6" borderId="0" xfId="0" applyNumberFormat="1" applyFont="1" applyFill="1" applyBorder="1" applyAlignment="1">
      <x:alignment wrapText="1"/>
    </x:xf>
    <x:xf numFmtId="0" fontId="26" fillId="15" borderId="0" xfId="0" applyNumberFormat="1" applyFont="1" applyFill="1" applyBorder="1" applyAlignment="1">
      <x:alignment horizontal="center" vertical="center" wrapText="1"/>
    </x:xf>
    <x:xf numFmtId="0" fontId="26" fillId="16" borderId="0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/>
    <x:xf numFmtId="0" fontId="7" fillId="3" borderId="0" xfId="0" applyNumberFormat="1" applyFont="1" applyFill="1" applyBorder="1" applyAlignment="1">
      <x:alignment wrapText="1"/>
    </x:xf>
    <x:xf numFmtId="0" fontId="7" fillId="3" borderId="0" xfId="0" applyNumberFormat="1" applyFont="1" applyFill="1" applyBorder="1" applyAlignment="1">
      <x:alignment horizontal="center" wrapText="1"/>
    </x:xf>
    <x:xf numFmtId="0" fontId="7" fillId="3" borderId="0" xfId="0" applyNumberFormat="1" applyFont="1" applyFill="1" applyBorder="1" applyAlignment="1">
      <x:alignment horizontal="center"/>
    </x:xf>
    <x:xf numFmtId="0" fontId="7" fillId="3" borderId="0" xfId="0" applyNumberFormat="1" applyFont="1" applyFill="1" applyBorder="1" applyAlignment="1">
      <x:alignment horizontal="center" vertical="center" wrapText="1"/>
    </x:xf>
    <x:xf numFmtId="0" fontId="7" fillId="3" borderId="0" xfId="0" applyNumberFormat="1" applyFont="1" applyFill="1" applyBorder="1" applyAlignment="1">
      <x:alignment horizontal="center" vertical="center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 vertical="center"/>
    </x:xf>
    <x:xf numFmtId="0" fontId="26" fillId="3" borderId="0" xfId="0" applyNumberFormat="1" applyFont="1" applyFill="1" applyBorder="1" applyAlignment="1">
      <x:alignment horizontal="center" vertical="center" wrapText="1"/>
    </x:xf>
    <x:xf numFmtId="0" fontId="26" fillId="3" borderId="0" xfId="0" applyNumberFormat="1" applyFont="1" applyFill="1" applyBorder="1" applyAlignment="1">
      <x:alignment horizontal="center" vertical="center"/>
    </x:xf>
    <x:xf numFmtId="0" fontId="26" fillId="4" borderId="0" xfId="0" applyNumberFormat="1" applyFont="1" applyFill="1" applyBorder="1" applyAlignment="1">
      <x:alignment horizontal="center" vertical="center"/>
    </x:xf>
    <x:xf numFmtId="0" fontId="26" fillId="4" borderId="0" xfId="0" applyNumberFormat="1" applyFont="1" applyFill="1" applyBorder="1" applyAlignment="1">
      <x:alignment horizontal="center" vertical="center" wrapText="1"/>
    </x:xf>
    <x:xf numFmtId="0" fontId="5" fillId="19" borderId="0" xfId="0" applyNumberFormat="1" applyFont="1" applyFill="1" applyBorder="1" applyAlignment="1">
      <x:alignment horizontal="center" wrapText="1"/>
    </x:xf>
    <x:xf numFmtId="0" fontId="0" fillId="19" borderId="0" xfId="0" applyNumberFormat="1" applyFont="1" applyFill="1" applyBorder="1" applyAlignment="1">
      <x:alignment wrapText="1"/>
    </x:xf>
    <x:xf numFmtId="0" fontId="5" fillId="19" borderId="0" xfId="0" applyNumberFormat="1" applyFont="1" applyFill="1" applyBorder="1" applyAlignment="1">
      <x:alignment wrapText="1"/>
    </x:xf>
    <x:xf numFmtId="0" fontId="7" fillId="20" borderId="0" xfId="0" applyNumberFormat="1" applyFont="1" applyFill="1" applyBorder="1" applyAlignment="1">
      <x:alignment horizontal="left"/>
    </x:xf>
    <x:xf numFmtId="0" fontId="0" fillId="20" borderId="0" xfId="0" applyNumberFormat="1" applyFont="1" applyFill="1" applyBorder="1"/>
    <x:xf numFmtId="0" fontId="37" fillId="20" borderId="0" xfId="0" applyNumberFormat="1" applyFont="1" applyFill="1" applyBorder="1" applyAlignment="1">
      <x:alignment horizontal="left"/>
    </x:xf>
    <x:xf numFmtId="0" fontId="37" fillId="20" borderId="0" xfId="0" applyNumberFormat="1" applyFont="1" applyFill="1" applyBorder="1"/>
    <x:xf numFmtId="0" fontId="8" fillId="21" borderId="0" xfId="0" applyNumberFormat="1" applyFont="1" applyFill="1" applyBorder="1"/>
    <x:xf numFmtId="0" fontId="2" fillId="21" borderId="0" xfId="0" applyNumberFormat="1" applyFont="1" applyFill="1" applyBorder="1"/>
    <x:xf numFmtId="0" fontId="2" fillId="21" borderId="0" xfId="0" applyNumberFormat="1" applyFont="1" applyFill="1" applyBorder="1" applyAlignment="1">
      <x:alignment horizontal="center"/>
    </x:xf>
    <x:xf numFmtId="200" fontId="0" fillId="20" borderId="0" xfId="0" applyNumberFormat="1" applyFont="1" applyFill="1" applyBorder="1"/>
    <x:xf numFmtId="200" fontId="37" fillId="20" borderId="0" xfId="0" applyNumberFormat="1" applyFont="1" applyFill="1" applyBorder="1"/>
    <x:xf numFmtId="200" fontId="37" fillId="20" borderId="0" xfId="0" applyNumberFormat="1" applyFont="1" applyFill="1" applyBorder="1" applyAlignment="1">
      <x:alignment horizontal="left"/>
    </x:xf>
    <x:xf numFmtId="0" fontId="0" fillId="21" borderId="0" xfId="0" applyNumberFormat="1" applyFont="1" applyFill="1" applyBorder="1"/>
    <x:xf numFmtId="200" fontId="0" fillId="21" borderId="0" xfId="0" applyNumberFormat="1" applyFont="1" applyFill="1" applyBorder="1"/>
    <x:xf numFmtId="200" fontId="2" fillId="21" borderId="0" xfId="0" applyNumberFormat="1" applyFont="1" applyFill="1" applyBorder="1"/>
    <x:xf numFmtId="200" fontId="2" fillId="21" borderId="0" xfId="0" applyNumberFormat="1" applyFont="1" applyFill="1" applyBorder="1" applyAlignment="1">
      <x:alignment horizontal="center"/>
    </x:xf>
    <x:xf numFmtId="200" fontId="5" fillId="19" borderId="0" xfId="0" applyNumberFormat="1" applyFont="1" applyFill="1" applyBorder="1" applyAlignment="1">
      <x:alignment horizontal="center" wrapText="1"/>
    </x:xf>
    <x:xf numFmtId="0" fontId="5" fillId="19" borderId="0" xfId="0" applyNumberFormat="1" applyFont="1" applyFill="1" applyBorder="1" applyAlignment="1">
      <x:alignment horizontal="center" vertical="center" wrapText="1"/>
    </x:xf>
    <x:xf numFmtId="200" fontId="5" fillId="19" borderId="0" xfId="0" applyNumberFormat="1" applyFont="1" applyFill="1" applyBorder="1" applyAlignment="1">
      <x:alignment horizontal="center" vertical="center" wrapText="1"/>
    </x:xf>
    <x:xf numFmtId="0" fontId="2" fillId="19" borderId="0" xfId="0" applyNumberFormat="1" applyFont="1" applyFill="1" applyBorder="1"/>
    <x:xf numFmtId="0" fontId="2" fillId="19" borderId="0" xfId="0" applyNumberFormat="1" applyFont="1" applyFill="1" applyBorder="1" applyAlignment="1">
      <x:alignment horizontal="center"/>
    </x:xf>
    <x:xf numFmtId="201" fontId="0" fillId="0" borderId="0" xfId="0" applyNumberFormat="1" applyFont="1" applyFill="1" applyBorder="1" applyAlignment="1">
      <x:alignment wrapText="1"/>
    </x:xf>
    <x:xf numFmtId="0" fontId="35" fillId="19" xfId="0" applyNumberFormat="1" applyFont="1" applyFill="1" applyBorder="0" applyAlignment="1">
      <x:alignment horizontal="center" vertical="center" wrapText="1"/>
    </x:xf>
    <x:xf numFmtId="0" fontId="23" fillId="19" xfId="0" applyNumberFormat="1" applyFont="1" applyFill="1" applyBorder="0" applyAlignment="1">
      <x:alignment horizontal="center" vertical="center" wrapText="1"/>
    </x:xf>
    <x:xf numFmtId="0" fontId="21" fillId="22" xfId="0" applyNumberFormat="1" applyFont="1" applyFill="1" applyBorder="0" applyAlignment="1">
      <x:alignment vertical="center" wrapText="1"/>
    </x:xf>
    <x:xf numFmtId="201" fontId="21" fillId="22" xfId="0" applyNumberFormat="1" applyFont="1" applyFill="1" applyBorder="0" applyAlignment="1">
      <x:alignment vertical="center" wrapText="1"/>
    </x:xf>
    <x:xf numFmtId="0" fontId="38" fillId="22" xfId="0" applyNumberFormat="1" applyFont="1" applyFill="1" applyBorder="0" applyAlignment="1">
      <x:alignment vertical="center" wrapText="1"/>
    </x:xf>
    <x:xf numFmtId="201" fontId="38" fillId="22" xfId="0" applyNumberFormat="1" applyFont="1" applyFill="1" applyBorder="0" applyAlignment="1">
      <x:alignment vertical="center" wrapText="1"/>
    </x:xf>
    <x:xf numFmtId="0" fontId="0" fillId="22" borderId="0" xfId="0" applyNumberFormat="1" applyFont="1" applyFill="1" applyBorder="1" applyAlignment="1">
      <x:alignment wrapText="1"/>
    </x:xf>
    <x:xf numFmtId="201" fontId="0" fillId="22" borderId="0" xfId="0" applyNumberFormat="1" applyFont="1" applyFill="1" applyBorder="1" applyAlignment="1">
      <x:alignment wrapText="1"/>
    </x:xf>
    <x:xf numFmtId="0" fontId="3" fillId="22" borderId="0" xfId="0" applyNumberFormat="1" applyFont="1" applyFill="1" applyBorder="1" applyAlignment="1">
      <x:alignment wrapText="1"/>
    </x:xf>
    <x:xf numFmtId="201" fontId="3" fillId="22" borderId="0" xfId="0" applyNumberFormat="1" applyFont="1" applyFill="1" applyBorder="1" applyAlignment="1">
      <x:alignment wrapText="1"/>
    </x:xf>
  </x:cellXfs>
  <x:cellStyles count="1">
    <x:cellStyle name="Normal" xfId="0"/>
  </x:cellStyles>
  <x:dxfs count="5"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1D4ED8"/>
      </x:font>
      <x:fill>
        <x:patternFill>
          <x:bgColor rgb="FFDBEAFE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992311b78fa4f84" /><Relationship Type="http://schemas.openxmlformats.org/officeDocument/2006/relationships/theme" Target="/xl/theme/theme1.xml" Id="Ra8edd0876a0d46dc" /><Relationship Type="http://schemas.openxmlformats.org/officeDocument/2006/relationships/sharedStrings" Target="/xl/sharedStrings.xml" Id="Rab00623994a34fb5" /><Relationship Type="http://schemas.openxmlformats.org/officeDocument/2006/relationships/worksheet" Target="/xl/worksheets/sheet1.xml" Id="Reb0d885d7d534d4e" /><Relationship Type="http://schemas.openxmlformats.org/officeDocument/2006/relationships/worksheet" Target="/xl/worksheets/sheet2.xml" Id="Re657037dbde7481d" /><Relationship Type="http://schemas.openxmlformats.org/officeDocument/2006/relationships/worksheet" Target="/xl/worksheets/sheet3.xml" Id="Rd87a9c3fc3d44053" /><Relationship Type="http://schemas.openxmlformats.org/officeDocument/2006/relationships/worksheet" Target="/xl/worksheets/sheet4.xml" Id="Rc607b3fa54f9470d" /><Relationship Type="http://schemas.openxmlformats.org/officeDocument/2006/relationships/worksheet" Target="/xl/worksheets/sheet5.xml" Id="R37f796516f20408f" /><Relationship Type="http://schemas.openxmlformats.org/officeDocument/2006/relationships/worksheet" Target="/xl/worksheets/sheet6.xml" Id="R987a4122d0964ca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3" hidden="0" customWidth="1"/>
    <x:col min="2" max="2" width="16" hidden="0" customWidth="1"/>
    <x:col min="3" max="3" width="16" hidden="0" customWidth="1"/>
    <x:col min="4" max="4" width="16" hidden="0" customWidth="1"/>
    <x:col min="5" max="5" width="3" hidden="0" customWidth="1"/>
    <x:col min="6" max="6" width="16" hidden="0" customWidth="1"/>
    <x:col min="7" max="7" width="16" hidden="0" customWidth="1"/>
    <x:col min="8" max="8" width="16" hidden="0" customWidth="1"/>
    <x:col min="9" max="9" width="3" hidden="0" customWidth="1"/>
    <x:col min="10" max="10" width="17" hidden="0" customWidth="1"/>
    <x:col min="11" max="11" width="17" hidden="0" customWidth="1"/>
    <x:col min="12" max="12" width="17" hidden="0" customWidth="1"/>
    <x:col min="13" max="13" width="3" hidden="0" customWidth="1"/>
    <x:col min="14" max="14" width="18" hidden="0" customWidth="1"/>
    <x:col min="15" max="15" width="28" hidden="0" customWidth="1"/>
    <x:col min="16" max="16" width="18" hidden="0" customWidth="1"/>
    <x:col min="17" max="17" width="18" hidden="0" customWidth="1"/>
  </x:cols>
  <x:sheetData>
    <x:row r="1" ht="21" customHeight="1">
      <x:c r="A1" s="191"/>
      <x:c r="B1" s="162"/>
      <x:c r="C1" s="162"/>
      <x:c r="D1" s="162"/>
      <x:c r="E1" s="162"/>
      <x:c r="F1" s="162"/>
      <x:c r="G1" s="162"/>
      <x:c r="H1" s="162"/>
      <x:c r="I1" s="162"/>
      <x:c r="J1" s="162"/>
      <x:c r="K1" s="162"/>
      <x:c r="L1" s="162"/>
      <x:c r="M1" s="162"/>
      <x:c r="N1" s="162"/>
      <x:c r="O1" s="162"/>
      <x:c r="P1" s="162"/>
      <x:c r="Q1" s="162"/>
    </x:row>
    <x:row r="2" ht="21" customHeight="1">
      <x:c r="A2" s="162"/>
      <x:c r="B2" s="161" t="str">
        <x:v>Rahul's LeetCode 500 Mission Dashboard</x:v>
      </x:c>
      <x:c r="C2" s="161"/>
      <x:c r="D2" s="161"/>
      <x:c r="E2" s="161"/>
      <x:c r="F2" s="161"/>
      <x:c r="G2" s="161"/>
      <x:c r="H2" s="161"/>
      <x:c r="I2" s="161"/>
      <x:c r="J2" s="161"/>
      <x:c r="K2" s="161"/>
      <x:c r="L2" s="161"/>
      <x:c r="M2" s="161"/>
      <x:c r="N2" s="161"/>
      <x:c r="O2" s="161"/>
      <x:c r="P2" s="161"/>
      <x:c r="Q2" s="161"/>
    </x:row>
    <x:row r="3" ht="21" customHeight="1">
      <x:c r="A3" s="160"/>
      <x:c r="B3" s="161"/>
      <x:c r="C3" s="161"/>
      <x:c r="D3" s="161"/>
      <x:c r="E3" s="161"/>
      <x:c r="F3" s="161"/>
      <x:c r="G3" s="161"/>
      <x:c r="H3" s="161"/>
      <x:c r="I3" s="161"/>
      <x:c r="J3" s="161"/>
      <x:c r="K3" s="161"/>
      <x:c r="L3" s="161"/>
      <x:c r="M3" s="161"/>
      <x:c r="N3" s="161"/>
      <x:c r="O3" s="161"/>
      <x:c r="P3" s="161"/>
      <x:c r="Q3" s="161"/>
    </x:row>
    <x:row r="4" ht="21" customHeight="1">
      <x:c r="A4" s="162"/>
      <x:c r="B4" s="163" t="str">
        <x:v>Clean topic-wise tracker • First 100 problems = 1/day • Then 2–3/day • No guilt, only consistency</x:v>
      </x:c>
      <x:c r="C4" s="163"/>
      <x:c r="D4" s="163"/>
      <x:c r="E4" s="163"/>
      <x:c r="F4" s="163"/>
      <x:c r="G4" s="163"/>
      <x:c r="H4" s="163"/>
      <x:c r="I4" s="163"/>
      <x:c r="J4" s="163"/>
      <x:c r="K4" s="163"/>
      <x:c r="L4" s="163"/>
      <x:c r="M4" s="163"/>
      <x:c r="N4" s="163"/>
      <x:c r="O4" s="163"/>
      <x:c r="P4" s="163"/>
      <x:c r="Q4" s="163"/>
    </x:row>
    <x:row r="5" ht="21" customHeight="1">
      <x:c r="A5" s="162"/>
      <x:c r="B5" s="162"/>
      <x:c r="C5" s="162"/>
      <x:c r="D5" s="192"/>
      <x:c r="E5" s="192"/>
      <x:c r="F5" s="162"/>
      <x:c r="G5" s="162"/>
      <x:c r="H5" s="162"/>
      <x:c r="I5" s="162"/>
      <x:c r="J5" s="162"/>
      <x:c r="K5" s="162"/>
      <x:c r="L5" s="162"/>
      <x:c r="M5" s="162"/>
      <x:c r="N5" s="162"/>
      <x:c r="O5" s="162"/>
      <x:c r="P5" s="162"/>
      <x:c r="Q5" s="162"/>
    </x:row>
    <x:row r="6" ht="21" customHeight="1">
      <x:c r="A6" s="162"/>
      <x:c r="B6" s="166" t="str">
        <x:v>Public Profile Snapshot</x:v>
      </x:c>
      <x:c r="C6" s="166"/>
      <x:c r="D6" s="166"/>
      <x:c r="E6" s="193"/>
      <x:c r="F6" s="194" t="str">
        <x:v>500 Mission Progress</x:v>
      </x:c>
      <x:c r="G6" s="194"/>
      <x:c r="H6" s="194"/>
      <x:c r="I6" s="162"/>
      <x:c r="J6" s="195" t="str">
        <x:v>Current Plan</x:v>
      </x:c>
      <x:c r="K6" s="195"/>
      <x:c r="L6" s="195"/>
      <x:c r="M6" s="162"/>
      <x:c r="N6" s="196" t="str">
        <x:v>Rules</x:v>
      </x:c>
      <x:c r="O6" s="196"/>
      <x:c r="P6" s="196"/>
      <x:c r="Q6" s="196"/>
    </x:row>
    <x:row r="7" ht="21" customHeight="1">
      <x:c r="A7" s="162"/>
      <x:c r="B7" s="172" t="str">
        <x:v>LeetCode URL</x:v>
      </x:c>
      <x:c r="C7" s="173" t="str">
        <x:v>https://leetcode.com/u/RahulTakale/</x:v>
      </x:c>
      <x:c r="D7" s="173"/>
      <x:c r="E7" s="192"/>
      <x:c r="F7" s="172" t="str">
        <x:v>Target</x:v>
      </x:c>
      <x:c r="G7" s="174" t="n">
        <x:v>500</x:v>
      </x:c>
      <x:c r="H7" s="175" t="n">
        <x:f>G7</x:f>
        <x:v>500</x:v>
      </x:c>
      <x:c r="I7" s="162"/>
      <x:c r="J7" s="172" t="str">
        <x:v>Start Date</x:v>
      </x:c>
      <x:c r="K7" s="176"/>
      <x:c r="L7" s="177" t="n">
        <x:f>TODAY()</x:f>
        <x:v>46210</x:v>
      </x:c>
      <x:c r="M7" s="162"/>
      <x:c r="N7" s="178" t="str">
        <x:v>1</x:v>
      </x:c>
      <x:c r="O7" s="172" t="str">
        <x:v>No random solving</x:v>
      </x:c>
      <x:c r="P7" s="172" t="str">
        <x:v>Follow blocks</x:v>
      </x:c>
      <x:c r="Q7" s="179" t="str">
        <x:v>Arrays → Strings → Linked List</x:v>
      </x:c>
    </x:row>
    <x:row r="8" ht="21" customHeight="1">
      <x:c r="A8" s="162"/>
      <x:c r="B8" s="172" t="str">
        <x:v>Public solved</x:v>
      </x:c>
      <x:c r="C8" s="173" t="str">
        <x:v>82 / 3985</x:v>
      </x:c>
      <x:c r="D8" s="173"/>
      <x:c r="E8" s="192"/>
      <x:c r="F8" s="172" t="str">
        <x:v>Marked Done</x:v>
      </x:c>
      <x:c r="G8" s="174"/>
      <x:c r="H8" s="175" t="n">
        <x:f>COUNTIF('500 Problem Plan'!I:I,"Done")</x:f>
        <x:v>47</x:v>
      </x:c>
      <x:c r="I8" s="162"/>
      <x:c r="J8" s="172" t="str">
        <x:v>Target Finish</x:v>
      </x:c>
      <x:c r="K8" s="176" t="str">
        <x:v>06-Mar-2027</x:v>
      </x:c>
      <x:c r="L8" s="176"/>
      <x:c r="M8" s="162"/>
      <x:c r="N8" s="178" t="str">
        <x:v>2</x:v>
      </x:c>
      <x:c r="O8" s="172" t="str">
        <x:v>First 100</x:v>
      </x:c>
      <x:c r="P8" s="172" t="str">
        <x:v>Only 1/day</x:v>
      </x:c>
      <x:c r="Q8" s="179" t="str">
        <x:v>Build consistency</x:v>
      </x:c>
    </x:row>
    <x:row r="9" ht="21" customHeight="1">
      <x:c r="A9" s="162"/>
      <x:c r="B9" s="172" t="str">
        <x:v>Easy</x:v>
      </x:c>
      <x:c r="C9" s="173" t="str">
        <x:v>43 / 953</x:v>
      </x:c>
      <x:c r="D9" s="173"/>
      <x:c r="E9" s="192"/>
      <x:c r="F9" s="172" t="str">
        <x:v>Remaining</x:v>
      </x:c>
      <x:c r="G9" s="174"/>
      <x:c r="H9" s="175" t="n">
        <x:f>H7-H8</x:f>
        <x:v>453</x:v>
      </x:c>
      <x:c r="I9" s="162"/>
      <x:c r="J9" s="172" t="str">
        <x:v>First 100</x:v>
      </x:c>
      <x:c r="K9" s="176" t="str">
        <x:v>1 problem/day</x:v>
      </x:c>
      <x:c r="L9" s="176"/>
      <x:c r="M9" s="162"/>
      <x:c r="N9" s="178" t="str">
        <x:v>3</x:v>
      </x:c>
      <x:c r="O9" s="172" t="str">
        <x:v>After 100</x:v>
      </x:c>
      <x:c r="P9" s="172" t="str">
        <x:v>Increase speed</x:v>
      </x:c>
      <x:c r="Q9" s="179" t="str">
        <x:v>2/day then 3/day</x:v>
      </x:c>
    </x:row>
    <x:row r="10" ht="21" customHeight="1">
      <x:c r="A10" s="162"/>
      <x:c r="B10" s="172" t="str">
        <x:v>Medium</x:v>
      </x:c>
      <x:c r="C10" s="173" t="str">
        <x:v>31 / 2081</x:v>
      </x:c>
      <x:c r="D10" s="173"/>
      <x:c r="E10" s="197"/>
      <x:c r="F10" s="172" t="str">
        <x:v>Not Started</x:v>
      </x:c>
      <x:c r="G10" s="174"/>
      <x:c r="H10" s="175" t="n">
        <x:f>COUNTIF('500 Problem Plan'!I:I,"Not Started")</x:f>
        <x:v>453</x:v>
      </x:c>
      <x:c r="I10" s="162"/>
      <x:c r="J10" s="172" t="str">
        <x:v>101–250</x:v>
      </x:c>
      <x:c r="K10" s="176" t="str">
        <x:v>2 problems/day</x:v>
      </x:c>
      <x:c r="L10" s="176"/>
      <x:c r="M10" s="162"/>
      <x:c r="N10" s="178" t="str">
        <x:v>4</x:v>
      </x:c>
      <x:c r="O10" s="172" t="str">
        <x:v>Every problem</x:v>
      </x:c>
      <x:c r="P10" s="172" t="str">
        <x:v>Write notes</x:v>
      </x:c>
      <x:c r="Q10" s="179" t="str">
        <x:v>Mistake + pattern</x:v>
      </x:c>
    </x:row>
    <x:row r="11" ht="21" customHeight="1">
      <x:c r="A11" s="162"/>
      <x:c r="B11" s="172" t="str">
        <x:v>Hard</x:v>
      </x:c>
      <x:c r="C11" s="173" t="str">
        <x:v>8 / 951</x:v>
      </x:c>
      <x:c r="D11" s="173"/>
      <x:c r="E11" s="162"/>
      <x:c r="F11" s="172" t="str">
        <x:v>In Progress</x:v>
      </x:c>
      <x:c r="G11" s="174"/>
      <x:c r="H11" s="175" t="n">
        <x:f>COUNTIF('500 Problem Plan'!I:I,"In Progress")</x:f>
        <x:v>0</x:v>
      </x:c>
      <x:c r="I11" s="162"/>
      <x:c r="J11" s="172" t="str">
        <x:v>251–500</x:v>
      </x:c>
      <x:c r="K11" s="176" t="str">
        <x:v>3 problems/day</x:v>
      </x:c>
      <x:c r="L11" s="176"/>
      <x:c r="M11" s="162"/>
      <x:c r="N11" s="178" t="str">
        <x:v>5</x:v>
      </x:c>
      <x:c r="O11" s="172" t="str">
        <x:v>Every Sunday</x:v>
      </x:c>
      <x:c r="P11" s="172" t="str">
        <x:v>Revise</x:v>
      </x:c>
      <x:c r="Q11" s="179" t="str">
        <x:v>Old weak topics</x:v>
      </x:c>
    </x:row>
    <x:row r="12" ht="21" customHeight="1">
      <x:c r="A12" s="162"/>
      <x:c r="B12" s="172" t="str">
        <x:v>Rank</x:v>
      </x:c>
      <x:c r="C12" s="173" t="str">
        <x:v>1,852,980</x:v>
      </x:c>
      <x:c r="D12" s="173"/>
      <x:c r="E12" s="162"/>
      <x:c r="F12" s="172" t="str">
        <x:v>Revision</x:v>
      </x:c>
      <x:c r="G12" s="174"/>
      <x:c r="H12" s="175" t="n">
        <x:f>COUNTIF('500 Problem Plan'!I:I,"Revision")</x:f>
        <x:v>0</x:v>
      </x:c>
      <x:c r="I12" s="162"/>
      <x:c r="J12" s="172" t="str">
        <x:v>Order</x:v>
      </x:c>
      <x:c r="K12" s="176" t="str">
        <x:v>Topic-wise only</x:v>
      </x:c>
      <x:c r="L12" s="176"/>
      <x:c r="M12" s="162"/>
      <x:c r="N12" s="178" t="str">
        <x:v>6</x:v>
      </x:c>
      <x:c r="O12" s="172" t="str">
        <x:v>Goal</x:v>
      </x:c>
      <x:c r="P12" s="172" t="str">
        <x:v>Strong profile</x:v>
      </x:c>
      <x:c r="Q12" s="179" t="str">
        <x:v>No guilt next year</x:v>
      </x:c>
    </x:row>
    <x:row r="13" ht="21" customHeight="1">
      <x:c r="A13" s="198"/>
      <x:c r="B13" s="162"/>
      <x:c r="C13" s="162"/>
      <x:c r="D13" s="162"/>
      <x:c r="E13" s="162"/>
      <x:c r="F13" s="162"/>
      <x:c r="G13" s="162"/>
      <x:c r="H13" s="162"/>
      <x:c r="I13" s="162"/>
      <x:c r="J13" s="162"/>
      <x:c r="K13" s="162"/>
      <x:c r="L13" s="162"/>
      <x:c r="M13" s="162"/>
      <x:c r="N13" s="162"/>
      <x:c r="O13" s="162"/>
      <x:c r="P13" s="162"/>
      <x:c r="Q13" s="162"/>
    </x:row>
    <x:row r="14" ht="21" customHeight="1">
      <x:c r="A14" s="162"/>
      <x:c r="B14" s="199" t="str">
        <x:v>Solved Progress</x:v>
      </x:c>
      <x:c r="C14" s="199"/>
      <x:c r="D14" s="199"/>
      <x:c r="E14" s="162"/>
      <x:c r="F14" s="199" t="str">
        <x:v>Topic Completion</x:v>
      </x:c>
      <x:c r="G14" s="199"/>
      <x:c r="H14" s="199"/>
      <x:c r="I14" s="162"/>
      <x:c r="J14" s="199" t="str">
        <x:v>Difficulty Mix</x:v>
      </x:c>
      <x:c r="K14" s="199"/>
      <x:c r="L14" s="199"/>
      <x:c r="M14" s="162"/>
      <x:c r="N14" s="199" t="str">
        <x:v>Next Focus</x:v>
      </x:c>
      <x:c r="O14" s="199"/>
      <x:c r="P14" s="199"/>
      <x:c r="Q14" s="199"/>
    </x:row>
    <x:row r="15" ht="21" customHeight="1">
      <x:c r="A15" s="162"/>
      <x:c r="B15" s="172" t="str">
        <x:v>Main sheet done</x:v>
      </x:c>
      <x:c r="C15" s="183" t="n">
        <x:f>COUNTIF('500 Problem Plan'!I:I,"Done")</x:f>
        <x:v>47</x:v>
      </x:c>
      <x:c r="D15" s="179"/>
      <x:c r="E15" s="162"/>
      <x:c r="F15" s="172" t="str">
        <x:v>Best topic</x:v>
      </x:c>
      <x:c r="G15" s="184" t="str">
        <x:f>INDEX('Topic Summary'!A2:A14,MATCH(MAX('Topic Summary'!H2:H14),'Topic Summary'!H2:H14,0))</x:f>
        <x:v>Linked List</x:v>
      </x:c>
      <x:c r="H15" s="184"/>
      <x:c r="I15" s="162"/>
      <x:c r="J15" s="172" t="str">
        <x:v>Easy planned</x:v>
      </x:c>
      <x:c r="K15" s="184" t="n">
        <x:v>152</x:v>
      </x:c>
      <x:c r="L15" s="184"/>
      <x:c r="M15" s="162"/>
      <x:c r="N15" s="172" t="str">
        <x:v>Now</x:v>
      </x:c>
      <x:c r="O15" s="184" t="str">
        <x:v>Arrays &amp; Hashing</x:v>
      </x:c>
      <x:c r="P15" s="184"/>
      <x:c r="Q15" s="184"/>
    </x:row>
    <x:row r="16" ht="21" customHeight="1">
      <x:c r="A16" s="162"/>
      <x:c r="B16" s="172" t="str">
        <x:v>Completion %</x:v>
      </x:c>
      <x:c r="C16" s="185" t="n">
        <x:f>C15/500</x:f>
        <x:v>0.094</x:v>
      </x:c>
      <x:c r="D16" s="179"/>
      <x:c r="E16" s="162"/>
      <x:c r="F16" s="172" t="str">
        <x:v>Need attention</x:v>
      </x:c>
      <x:c r="G16" s="184" t="str">
        <x:f>INDEX('Topic Summary'!A2:A14,MATCH(MIN('Topic Summary'!H2:H14),'Topic Summary'!H2:H14,0))</x:f>
        <x:v>Trees / BST</x:v>
      </x:c>
      <x:c r="H16" s="184"/>
      <x:c r="I16" s="162"/>
      <x:c r="J16" s="172" t="str">
        <x:v>Medium planned</x:v>
      </x:c>
      <x:c r="K16" s="184" t="n">
        <x:v>291</x:v>
      </x:c>
      <x:c r="L16" s="184"/>
      <x:c r="M16" s="162"/>
      <x:c r="N16" s="172" t="str">
        <x:v>Then</x:v>
      </x:c>
      <x:c r="O16" s="184" t="str">
        <x:v>Strings</x:v>
      </x:c>
      <x:c r="P16" s="184"/>
      <x:c r="Q16" s="184"/>
    </x:row>
    <x:row r="17" ht="21" customHeight="1">
      <x:c r="A17" s="162"/>
      <x:c r="B17" s="172" t="str">
        <x:v>Public LC solved</x:v>
      </x:c>
      <x:c r="C17" s="183" t="str">
        <x:v>82</x:v>
      </x:c>
      <x:c r="D17" s="179"/>
      <x:c r="E17" s="162"/>
      <x:c r="F17" s="172" t="str">
        <x:v>Topics total</x:v>
      </x:c>
      <x:c r="G17" s="184" t="n">
        <x:v>14</x:v>
      </x:c>
      <x:c r="H17" s="184"/>
      <x:c r="I17" s="162"/>
      <x:c r="J17" s="172" t="str">
        <x:v>Hard planned</x:v>
      </x:c>
      <x:c r="K17" s="184" t="n">
        <x:v>57</x:v>
      </x:c>
      <x:c r="L17" s="184"/>
      <x:c r="M17" s="162"/>
      <x:c r="N17" s="172" t="str">
        <x:v>Rule</x:v>
      </x:c>
      <x:c r="O17" s="184" t="str">
        <x:v>Recursion block before Backtracking</x:v>
      </x:c>
      <x:c r="P17" s="184"/>
      <x:c r="Q17" s="184"/>
    </x:row>
    <x:row r="18" ht="21" customHeight="1">
      <x:c r="A18" s="162"/>
      <x:c r="B18" s="172" t="str">
        <x:v>Gap to 100 public</x:v>
      </x:c>
      <x:c r="C18" s="183" t="str">
        <x:v>18</x:v>
      </x:c>
      <x:c r="D18" s="179"/>
      <x:c r="E18" s="162"/>
      <x:c r="F18" s="172" t="str">
        <x:v>Topic order</x:v>
      </x:c>
      <x:c r="G18" s="184" t="str">
        <x:v>Strict blocks</x:v>
      </x:c>
      <x:c r="H18" s="184"/>
      <x:c r="I18" s="162"/>
      <x:c r="J18" s="172" t="str">
        <x:v>Current phase</x:v>
      </x:c>
      <x:c r="K18" s="184" t="str">
        <x:v>Foundation</x:v>
      </x:c>
      <x:c r="L18" s="184"/>
      <x:c r="M18" s="162"/>
      <x:c r="N18" s="172" t="str">
        <x:v>Rule</x:v>
      </x:c>
      <x:c r="O18" s="184" t="str">
        <x:v>Finish one block, then move</x:v>
      </x:c>
      <x:c r="P18" s="184"/>
      <x:c r="Q18" s="184"/>
    </x:row>
    <x:row r="19" ht="21" customHeight="1">
      <x:c r="A19" s="162"/>
      <x:c r="B19" s="162"/>
      <x:c r="C19" s="162"/>
      <x:c r="D19" s="162"/>
      <x:c r="E19" s="162"/>
      <x:c r="F19" s="162"/>
      <x:c r="G19" s="162"/>
      <x:c r="H19" s="162"/>
      <x:c r="I19" s="162"/>
      <x:c r="J19" s="162"/>
      <x:c r="K19" s="162"/>
      <x:c r="L19" s="162"/>
      <x:c r="M19" s="162"/>
      <x:c r="N19" s="162"/>
      <x:c r="O19" s="162"/>
      <x:c r="P19" s="162"/>
      <x:c r="Q19" s="162"/>
    </x:row>
    <x:row r="20" ht="21" customHeight="1">
      <x:c r="A20" s="162"/>
      <x:c r="B20" s="162"/>
      <x:c r="C20" s="162"/>
      <x:c r="D20" s="162"/>
      <x:c r="E20" s="162"/>
      <x:c r="F20" s="162"/>
      <x:c r="G20" s="162"/>
      <x:c r="H20" s="162"/>
      <x:c r="I20" s="162"/>
      <x:c r="J20" s="162"/>
      <x:c r="K20" s="162"/>
      <x:c r="L20" s="162"/>
      <x:c r="M20" s="162"/>
      <x:c r="N20" s="162"/>
      <x:c r="O20" s="162"/>
      <x:c r="P20" s="162"/>
      <x:c r="Q20" s="162"/>
    </x:row>
    <x:row r="21" ht="21" customHeight="1">
      <x:c r="A21" s="162"/>
      <x:c r="B21" s="200" t="str">
        <x:v>Topic-wise Progress — Clean Blocks</x:v>
      </x:c>
      <x:c r="C21" s="200"/>
      <x:c r="D21" s="200"/>
      <x:c r="E21" s="200"/>
      <x:c r="F21" s="200"/>
      <x:c r="G21" s="200"/>
      <x:c r="H21" s="200"/>
      <x:c r="I21" s="200"/>
      <x:c r="J21" s="200"/>
      <x:c r="K21" s="200"/>
      <x:c r="L21" s="200"/>
      <x:c r="M21" s="200"/>
      <x:c r="N21" s="200"/>
      <x:c r="O21" s="200"/>
      <x:c r="P21" s="200"/>
      <x:c r="Q21" s="200"/>
    </x:row>
    <x:row r="22" ht="21" customHeight="1">
      <x:c r="A22" s="162"/>
      <x:c r="B22" s="162"/>
      <x:c r="C22" s="162"/>
      <x:c r="D22" s="162"/>
      <x:c r="E22" s="162"/>
      <x:c r="F22" s="162"/>
      <x:c r="G22" s="162"/>
      <x:c r="H22" s="162"/>
      <x:c r="I22" s="162"/>
      <x:c r="J22" s="162"/>
      <x:c r="K22" s="162"/>
      <x:c r="L22" s="162"/>
      <x:c r="M22" s="162"/>
      <x:c r="N22" s="162"/>
      <x:c r="O22" s="162"/>
      <x:c r="P22" s="162"/>
      <x:c r="Q22" s="162"/>
    </x:row>
    <x:row r="23" ht="21" customHeight="1">
      <x:c r="A23" s="162"/>
      <x:c r="B23" s="239" t="str">
        <x:v>Topic</x:v>
      </x:c>
      <x:c r="C23" s="239" t="str">
        <x:v>Total</x:v>
      </x:c>
      <x:c r="D23" s="239" t="str">
        <x:v>Easy</x:v>
      </x:c>
      <x:c r="E23" s="239" t="str">
        <x:v>Medium</x:v>
      </x:c>
      <x:c r="F23" s="239" t="str">
        <x:v>Hard</x:v>
      </x:c>
      <x:c r="G23" s="239" t="str">
        <x:v>Done</x:v>
      </x:c>
      <x:c r="H23" s="239" t="str">
        <x:v>Remaining</x:v>
      </x:c>
      <x:c r="I23" s="239" t="str">
        <x:v>Progress %</x:v>
      </x:c>
      <x:c r="J23" s="162"/>
      <x:c r="K23" s="200" t="str">
        <x:v>Next 8 Problems — Follow This Order</x:v>
      </x:c>
      <x:c r="L23" s="200"/>
      <x:c r="M23" s="200"/>
      <x:c r="N23" s="200"/>
      <x:c r="O23" s="200"/>
      <x:c r="P23" s="200"/>
      <x:c r="Q23" s="200"/>
    </x:row>
    <x:row r="24" ht="21" customHeight="1">
      <x:c r="A24" s="162"/>
      <x:c r="B24" s="188" t="str">
        <x:v>Arrays &amp; Hashing</x:v>
      </x:c>
      <x:c r="C24" s="188" t="n">
        <x:v>65</x:v>
      </x:c>
      <x:c r="D24" s="188" t="n">
        <x:v>38</x:v>
      </x:c>
      <x:c r="E24" s="188" t="n">
        <x:v>26</x:v>
      </x:c>
      <x:c r="F24" s="188" t="n">
        <x:v>1</x:v>
      </x:c>
      <x:c r="G24" s="188" t="n">
        <x:v>17</x:v>
      </x:c>
      <x:c r="H24" s="188" t="n">
        <x:v>48</x:v>
      </x:c>
      <x:c r="I24" s="189" t="n">
        <x:v>0.26153846153846155</x:v>
      </x:c>
      <x:c r="J24" s="162"/>
      <x:c r="K24" s="187" t="str">
        <x:v>Seq</x:v>
      </x:c>
      <x:c r="L24" s="187" t="str">
        <x:v>Topic</x:v>
      </x:c>
      <x:c r="M24" s="187" t="str">
        <x:v>Difficulty</x:v>
      </x:c>
      <x:c r="N24" s="187" t="str">
        <x:v>LC ID</x:v>
      </x:c>
      <x:c r="O24" s="187" t="str">
        <x:v>Problem Title</x:v>
      </x:c>
      <x:c r="P24" s="187" t="str">
        <x:v>Status</x:v>
      </x:c>
      <x:c r="Q24" s="187" t="str">
        <x:v>Done?</x:v>
      </x:c>
    </x:row>
    <x:row r="25" ht="28" customHeight="1">
      <x:c r="A25" s="162"/>
      <x:c r="B25" s="188" t="str">
        <x:v>Strings</x:v>
      </x:c>
      <x:c r="C25" s="188" t="n">
        <x:v>50</x:v>
      </x:c>
      <x:c r="D25" s="188" t="n">
        <x:v>28</x:v>
      </x:c>
      <x:c r="E25" s="188" t="n">
        <x:v>20</x:v>
      </x:c>
      <x:c r="F25" s="188" t="n">
        <x:v>2</x:v>
      </x:c>
      <x:c r="G25" s="188" t="n">
        <x:v>5</x:v>
      </x:c>
      <x:c r="H25" s="188" t="n">
        <x:v>45</x:v>
      </x:c>
      <x:c r="I25" s="189" t="n">
        <x:v>0.1</x:v>
      </x:c>
      <x:c r="J25" s="162"/>
      <x:c r="K25" s="188" t="n">
        <x:v>3</x:v>
      </x:c>
      <x:c r="L25" s="188" t="str">
        <x:v>Arrays &amp; Hashing</x:v>
      </x:c>
      <x:c r="M25" s="188" t="str">
        <x:v>Easy</x:v>
      </x:c>
      <x:c r="N25" s="188" t="n">
        <x:v>242</x:v>
      </x:c>
      <x:c r="O25" s="188" t="str">
        <x:v>Valid Anagram</x:v>
      </x:c>
      <x:c r="P25" s="188" t="str">
        <x:v>Not Started</x:v>
      </x:c>
      <x:c r="Q25" s="188" t="str">
        <x:v>☐</x:v>
      </x:c>
    </x:row>
    <x:row r="26" ht="28" customHeight="1">
      <x:c r="A26" s="162"/>
      <x:c r="B26" s="188" t="str">
        <x:v>Linked List</x:v>
      </x:c>
      <x:c r="C26" s="188" t="n">
        <x:v>30</x:v>
      </x:c>
      <x:c r="D26" s="188" t="n">
        <x:v>8</x:v>
      </x:c>
      <x:c r="E26" s="188" t="n">
        <x:v>20</x:v>
      </x:c>
      <x:c r="F26" s="188" t="n">
        <x:v>2</x:v>
      </x:c>
      <x:c r="G26" s="188" t="n">
        <x:v>12</x:v>
      </x:c>
      <x:c r="H26" s="188" t="n">
        <x:v>18</x:v>
      </x:c>
      <x:c r="I26" s="189" t="n">
        <x:v>0.4</x:v>
      </x:c>
      <x:c r="J26" s="162"/>
      <x:c r="K26" s="188" t="n">
        <x:v>4</x:v>
      </x:c>
      <x:c r="L26" s="188" t="str">
        <x:v>Arrays &amp; Hashing</x:v>
      </x:c>
      <x:c r="M26" s="188" t="str">
        <x:v>Medium</x:v>
      </x:c>
      <x:c r="N26" s="188" t="n">
        <x:v>49</x:v>
      </x:c>
      <x:c r="O26" s="188" t="str">
        <x:v>Group Anagrams</x:v>
      </x:c>
      <x:c r="P26" s="188" t="str">
        <x:v>Not Started</x:v>
      </x:c>
      <x:c r="Q26" s="188" t="str">
        <x:v>☐</x:v>
      </x:c>
    </x:row>
    <x:row r="27" ht="28" customHeight="1">
      <x:c r="A27" s="162"/>
      <x:c r="B27" s="188" t="str">
        <x:v>Stack / Queue / Monotonic</x:v>
      </x:c>
      <x:c r="C27" s="188" t="n">
        <x:v>35</x:v>
      </x:c>
      <x:c r="D27" s="188" t="n">
        <x:v>9</x:v>
      </x:c>
      <x:c r="E27" s="188" t="n">
        <x:v>22</x:v>
      </x:c>
      <x:c r="F27" s="188" t="n">
        <x:v>4</x:v>
      </x:c>
      <x:c r="G27" s="188" t="n">
        <x:v>2</x:v>
      </x:c>
      <x:c r="H27" s="188" t="n">
        <x:v>33</x:v>
      </x:c>
      <x:c r="I27" s="189" t="n">
        <x:v>0.05714285714285714</x:v>
      </x:c>
      <x:c r="J27" s="162"/>
      <x:c r="K27" s="188" t="n">
        <x:v>5</x:v>
      </x:c>
      <x:c r="L27" s="188" t="str">
        <x:v>Arrays &amp; Hashing</x:v>
      </x:c>
      <x:c r="M27" s="188" t="str">
        <x:v>Medium</x:v>
      </x:c>
      <x:c r="N27" s="188" t="n">
        <x:v>347</x:v>
      </x:c>
      <x:c r="O27" s="188" t="str">
        <x:v>Top K Frequent Elements</x:v>
      </x:c>
      <x:c r="P27" s="188" t="str">
        <x:v>Not Started</x:v>
      </x:c>
      <x:c r="Q27" s="188" t="str">
        <x:v>☐</x:v>
      </x:c>
    </x:row>
    <x:row r="28" ht="28" customHeight="1">
      <x:c r="A28" s="162"/>
      <x:c r="B28" s="188" t="str">
        <x:v>Binary Search</x:v>
      </x:c>
      <x:c r="C28" s="188" t="n">
        <x:v>35</x:v>
      </x:c>
      <x:c r="D28" s="188" t="n">
        <x:v>10</x:v>
      </x:c>
      <x:c r="E28" s="188" t="n">
        <x:v>21</x:v>
      </x:c>
      <x:c r="F28" s="188" t="n">
        <x:v>4</x:v>
      </x:c>
      <x:c r="G28" s="188" t="n">
        <x:v>3</x:v>
      </x:c>
      <x:c r="H28" s="188" t="n">
        <x:v>32</x:v>
      </x:c>
      <x:c r="I28" s="189" t="n">
        <x:v>0.08571428571428572</x:v>
      </x:c>
      <x:c r="J28" s="162"/>
      <x:c r="K28" s="188" t="n">
        <x:v>7</x:v>
      </x:c>
      <x:c r="L28" s="188" t="str">
        <x:v>Arrays &amp; Hashing</x:v>
      </x:c>
      <x:c r="M28" s="188" t="str">
        <x:v>Medium</x:v>
      </x:c>
      <x:c r="N28" s="188" t="n">
        <x:v>36</x:v>
      </x:c>
      <x:c r="O28" s="188" t="str">
        <x:v>Valid Sudoku</x:v>
      </x:c>
      <x:c r="P28" s="188" t="str">
        <x:v>Not Started</x:v>
      </x:c>
      <x:c r="Q28" s="188" t="str">
        <x:v>☐</x:v>
      </x:c>
    </x:row>
    <x:row r="29" ht="28" customHeight="1">
      <x:c r="A29" s="162"/>
      <x:c r="B29" s="188" t="str">
        <x:v>Trees / BST</x:v>
      </x:c>
      <x:c r="C29" s="188" t="n">
        <x:v>45</x:v>
      </x:c>
      <x:c r="D29" s="188" t="n">
        <x:v>19</x:v>
      </x:c>
      <x:c r="E29" s="188" t="n">
        <x:v>26</x:v>
      </x:c>
      <x:c r="F29" s="188" t="n">
        <x:v>0</x:v>
      </x:c>
      <x:c r="G29" s="188" t="n">
        <x:v>0</x:v>
      </x:c>
      <x:c r="H29" s="188" t="n">
        <x:v>45</x:v>
      </x:c>
      <x:c r="I29" s="189" t="n">
        <x:v>0</x:v>
      </x:c>
      <x:c r="J29" s="162"/>
      <x:c r="K29" s="188" t="n">
        <x:v>8</x:v>
      </x:c>
      <x:c r="L29" s="188" t="str">
        <x:v>Arrays &amp; Hashing</x:v>
      </x:c>
      <x:c r="M29" s="188" t="str">
        <x:v>Medium</x:v>
      </x:c>
      <x:c r="N29" s="188" t="n">
        <x:v>128</x:v>
      </x:c>
      <x:c r="O29" s="188" t="str">
        <x:v>Longest Consecutive Sequence</x:v>
      </x:c>
      <x:c r="P29" s="188" t="str">
        <x:v>Not Started</x:v>
      </x:c>
      <x:c r="Q29" s="188" t="str">
        <x:v>☐</x:v>
      </x:c>
    </x:row>
    <x:row r="30" ht="28" customHeight="1">
      <x:c r="A30" s="162"/>
      <x:c r="B30" s="188" t="str">
        <x:v>Graphs</x:v>
      </x:c>
      <x:c r="C30" s="188" t="n">
        <x:v>45</x:v>
      </x:c>
      <x:c r="D30" s="188" t="n">
        <x:v>4</x:v>
      </x:c>
      <x:c r="E30" s="188" t="n">
        <x:v>32</x:v>
      </x:c>
      <x:c r="F30" s="188" t="n">
        <x:v>9</x:v>
      </x:c>
      <x:c r="G30" s="188" t="n">
        <x:v>0</x:v>
      </x:c>
      <x:c r="H30" s="188" t="n">
        <x:v>45</x:v>
      </x:c>
      <x:c r="I30" s="189" t="n">
        <x:v>0</x:v>
      </x:c>
      <x:c r="J30" s="162"/>
      <x:c r="K30" s="188" t="n">
        <x:v>12</x:v>
      </x:c>
      <x:c r="L30" s="188" t="str">
        <x:v>Arrays &amp; Hashing</x:v>
      </x:c>
      <x:c r="M30" s="188" t="str">
        <x:v>Easy</x:v>
      </x:c>
      <x:c r="N30" s="188" t="n">
        <x:v>1512</x:v>
      </x:c>
      <x:c r="O30" s="188" t="str">
        <x:v>Number of Good Pairs</x:v>
      </x:c>
      <x:c r="P30" s="188" t="str">
        <x:v>Not Started</x:v>
      </x:c>
      <x:c r="Q30" s="188" t="str">
        <x:v>☐</x:v>
      </x:c>
    </x:row>
    <x:row r="31" ht="28" customHeight="1">
      <x:c r="A31" s="162"/>
      <x:c r="B31" s="188" t="str">
        <x:v>Dynamic Programming</x:v>
      </x:c>
      <x:c r="C31" s="188" t="n">
        <x:v>60</x:v>
      </x:c>
      <x:c r="D31" s="188" t="n">
        <x:v>3</x:v>
      </x:c>
      <x:c r="E31" s="188" t="n">
        <x:v>47</x:v>
      </x:c>
      <x:c r="F31" s="188" t="n">
        <x:v>10</x:v>
      </x:c>
      <x:c r="G31" s="188" t="n">
        <x:v>4</x:v>
      </x:c>
      <x:c r="H31" s="188" t="n">
        <x:v>56</x:v>
      </x:c>
      <x:c r="I31" s="189" t="n">
        <x:v>0.06666666666666667</x:v>
      </x:c>
      <x:c r="J31" s="162"/>
      <x:c r="K31" s="188" t="n">
        <x:v>13</x:v>
      </x:c>
      <x:c r="L31" s="188" t="str">
        <x:v>Arrays &amp; Hashing</x:v>
      </x:c>
      <x:c r="M31" s="188" t="str">
        <x:v>Easy</x:v>
      </x:c>
      <x:c r="N31" s="188" t="n">
        <x:v>1480</x:v>
      </x:c>
      <x:c r="O31" s="188" t="str">
        <x:v>Running Sum of 1d Array</x:v>
      </x:c>
      <x:c r="P31" s="188" t="str">
        <x:v>Not Started</x:v>
      </x:c>
      <x:c r="Q31" s="188" t="str">
        <x:v>☐</x:v>
      </x:c>
    </x:row>
    <x:row r="32" ht="28" customHeight="1">
      <x:c r="A32" s="162"/>
      <x:c r="B32" s="188" t="str">
        <x:v>Greedy / Intervals</x:v>
      </x:c>
      <x:c r="C32" s="188" t="n">
        <x:v>30</x:v>
      </x:c>
      <x:c r="D32" s="188" t="n">
        <x:v>16</x:v>
      </x:c>
      <x:c r="E32" s="188" t="n">
        <x:v>13</x:v>
      </x:c>
      <x:c r="F32" s="188" t="n">
        <x:v>1</x:v>
      </x:c>
      <x:c r="G32" s="188" t="n">
        <x:v>0</x:v>
      </x:c>
      <x:c r="H32" s="188" t="n">
        <x:v>30</x:v>
      </x:c>
      <x:c r="I32" s="189" t="n">
        <x:v>0</x:v>
      </x:c>
      <x:c r="J32" s="162"/>
      <x:c r="K32" s="188" t="n">
        <x:v>14</x:v>
      </x:c>
      <x:c r="L32" s="188" t="str">
        <x:v>Arrays &amp; Hashing</x:v>
      </x:c>
      <x:c r="M32" s="188" t="str">
        <x:v>Easy</x:v>
      </x:c>
      <x:c r="N32" s="188" t="n">
        <x:v>724</x:v>
      </x:c>
      <x:c r="O32" s="188" t="str">
        <x:v>Find Pivot Index</x:v>
      </x:c>
      <x:c r="P32" s="188" t="str">
        <x:v>Not Started</x:v>
      </x:c>
      <x:c r="Q32" s="188" t="str">
        <x:v>☐</x:v>
      </x:c>
    </x:row>
    <x:row r="33" ht="21" customHeight="1">
      <x:c r="A33" s="162"/>
      <x:c r="B33" s="188" t="str">
        <x:v>Heap / Priority Queue</x:v>
      </x:c>
      <x:c r="C33" s="188" t="n">
        <x:v>25</x:v>
      </x:c>
      <x:c r="D33" s="188" t="n">
        <x:v>2</x:v>
      </x:c>
      <x:c r="E33" s="188" t="n">
        <x:v>11</x:v>
      </x:c>
      <x:c r="F33" s="188" t="n">
        <x:v>12</x:v>
      </x:c>
      <x:c r="G33" s="188" t="n">
        <x:v>1</x:v>
      </x:c>
      <x:c r="H33" s="188" t="n">
        <x:v>24</x:v>
      </x:c>
      <x:c r="I33" s="189" t="n">
        <x:v>0.04</x:v>
      </x:c>
      <x:c r="J33" s="162"/>
      <x:c r="K33" s="162"/>
      <x:c r="L33" s="162"/>
      <x:c r="M33" s="162"/>
      <x:c r="N33" s="162"/>
      <x:c r="O33" s="162"/>
      <x:c r="P33" s="162"/>
      <x:c r="Q33" s="162"/>
    </x:row>
    <x:row r="34" ht="21" customHeight="1">
      <x:c r="A34" s="162"/>
      <x:c r="B34" s="242" t="str">
        <x:v>Recursion Basics</x:v>
      </x:c>
      <x:c r="C34" s="242" t="n">
        <x:v>10</x:v>
      </x:c>
      <x:c r="D34" s="242" t="n">
        <x:v>1</x:v>
      </x:c>
      <x:c r="E34" s="242" t="n">
        <x:v>8</x:v>
      </x:c>
      <x:c r="F34" s="242" t="n">
        <x:v>1</x:v>
      </x:c>
      <x:c r="G34" s="242" t="n">
        <x:v>0</x:v>
      </x:c>
      <x:c r="H34" s="242" t="n">
        <x:v>10</x:v>
      </x:c>
      <x:c r="I34" s="243" t="n">
        <x:v>0</x:v>
      </x:c>
      <x:c r="J34" s="162"/>
      <x:c r="K34" s="162"/>
      <x:c r="L34" s="162"/>
      <x:c r="M34" s="162"/>
      <x:c r="N34" s="162"/>
      <x:c r="O34" s="162"/>
      <x:c r="P34" s="162"/>
      <x:c r="Q34" s="162"/>
    </x:row>
    <x:row r="35" ht="21" customHeight="1">
      <x:c r="A35" s="162"/>
      <x:c r="B35" s="188" t="str">
        <x:v>Backtracking</x:v>
      </x:c>
      <x:c r="C35" s="188" t="n">
        <x:v>25</x:v>
      </x:c>
      <x:c r="D35" s="188" t="n">
        <x:v>1</x:v>
      </x:c>
      <x:c r="E35" s="188" t="n">
        <x:v>18</x:v>
      </x:c>
      <x:c r="F35" s="188" t="n">
        <x:v>6</x:v>
      </x:c>
      <x:c r="G35" s="188" t="n">
        <x:v>0</x:v>
      </x:c>
      <x:c r="H35" s="188" t="n">
        <x:v>25</x:v>
      </x:c>
      <x:c r="I35" s="189" t="n">
        <x:v>0</x:v>
      </x:c>
      <x:c r="J35" s="162"/>
      <x:c r="K35" s="162"/>
      <x:c r="L35" s="162"/>
      <x:c r="M35" s="162"/>
      <x:c r="N35" s="162"/>
      <x:c r="O35" s="162"/>
      <x:c r="P35" s="162"/>
      <x:c r="Q35" s="162"/>
    </x:row>
    <x:row r="36" ht="21" customHeight="1">
      <x:c r="A36" s="162"/>
      <x:c r="B36" s="188" t="str">
        <x:v>Trie</x:v>
      </x:c>
      <x:c r="C36" s="188" t="n">
        <x:v>15</x:v>
      </x:c>
      <x:c r="D36" s="188" t="n">
        <x:v>0</x:v>
      </x:c>
      <x:c r="E36" s="188" t="n">
        <x:v>10</x:v>
      </x:c>
      <x:c r="F36" s="188" t="n">
        <x:v>5</x:v>
      </x:c>
      <x:c r="G36" s="188" t="n">
        <x:v>0</x:v>
      </x:c>
      <x:c r="H36" s="188" t="n">
        <x:v>15</x:v>
      </x:c>
      <x:c r="I36" s="189" t="n">
        <x:v>0</x:v>
      </x:c>
      <x:c r="J36" s="162"/>
      <x:c r="K36" s="162"/>
      <x:c r="L36" s="162"/>
      <x:c r="M36" s="162"/>
      <x:c r="N36" s="162"/>
      <x:c r="O36" s="162"/>
      <x:c r="P36" s="162"/>
      <x:c r="Q36" s="162"/>
    </x:row>
    <x:row r="37" ht="21" customHeight="1">
      <x:c r="A37" s="162"/>
      <x:c r="B37" s="188" t="str">
        <x:v>Bit Manipulation / Math</x:v>
      </x:c>
      <x:c r="C37" s="188" t="n">
        <x:v>30</x:v>
      </x:c>
      <x:c r="D37" s="188" t="n">
        <x:v>13</x:v>
      </x:c>
      <x:c r="E37" s="188" t="n">
        <x:v>17</x:v>
      </x:c>
      <x:c r="F37" s="188" t="n">
        <x:v>0</x:v>
      </x:c>
      <x:c r="G37" s="188" t="n">
        <x:v>3</x:v>
      </x:c>
      <x:c r="H37" s="188" t="n">
        <x:v>27</x:v>
      </x:c>
      <x:c r="I37" s="189" t="n">
        <x:v>0.1</x:v>
      </x:c>
      <x:c r="J37" s="162"/>
      <x:c r="K37" s="162"/>
      <x:c r="L37" s="162"/>
      <x:c r="M37" s="162"/>
      <x:c r="N37" s="162"/>
      <x:c r="O37" s="162"/>
      <x:c r="P37" s="162"/>
      <x:c r="Q37" s="162"/>
    </x:row>
    <x:row r="38" ht="21" customHeight="1">
      <x:c r="A38" s="162"/>
      <x:c r="B38" s="162"/>
      <x:c r="C38" s="162"/>
      <x:c r="D38" s="162"/>
      <x:c r="E38" s="162"/>
      <x:c r="F38" s="162"/>
      <x:c r="G38" s="162"/>
      <x:c r="H38" s="162"/>
      <x:c r="I38" s="162"/>
      <x:c r="J38" s="162"/>
      <x:c r="K38" s="162"/>
      <x:c r="L38" s="162"/>
      <x:c r="M38" s="162"/>
      <x:c r="N38" s="162"/>
      <x:c r="O38" s="162"/>
      <x:c r="P38" s="162"/>
      <x:c r="Q38" s="162"/>
    </x:row>
    <x:row r="39" ht="21" customHeight="1">
      <x:c r="A39" s="162"/>
      <x:c r="B39" s="162"/>
      <x:c r="C39" s="162"/>
      <x:c r="D39" s="162"/>
      <x:c r="E39" s="162"/>
      <x:c r="F39" s="162"/>
      <x:c r="G39" s="162"/>
      <x:c r="H39" s="162"/>
      <x:c r="I39" s="162"/>
      <x:c r="J39" s="162"/>
      <x:c r="K39" s="162"/>
      <x:c r="L39" s="162"/>
      <x:c r="M39" s="162"/>
      <x:c r="N39" s="162"/>
      <x:c r="O39" s="162"/>
      <x:c r="P39" s="162"/>
      <x:c r="Q39" s="162"/>
    </x:row>
    <x:row r="40" ht="21" customHeight="1">
      <x:c r="A40" s="162"/>
      <x:c r="B40" s="190" t="str">
        <x:v>Note: Dashboard is now a clean visual control panel. Recursion Basics has been added before Backtracking. Actual tracker stays in '500 Problem Plan'.</x:v>
      </x:c>
      <x:c r="C40" s="190"/>
      <x:c r="D40" s="190"/>
      <x:c r="E40" s="190"/>
      <x:c r="F40" s="190"/>
      <x:c r="G40" s="190"/>
      <x:c r="H40" s="190"/>
      <x:c r="I40" s="190"/>
      <x:c r="J40" s="190"/>
      <x:c r="K40" s="190"/>
      <x:c r="L40" s="190"/>
      <x:c r="M40" s="190"/>
      <x:c r="N40" s="190"/>
      <x:c r="O40" s="190"/>
      <x:c r="P40" s="190"/>
      <x:c r="Q40" s="190"/>
    </x:row>
    <x:row r="41" ht="21" customHeight="1">
      <x:c r="A41" s="162"/>
      <x:c r="B41" s="190"/>
      <x:c r="C41" s="190"/>
      <x:c r="D41" s="190"/>
      <x:c r="E41" s="190"/>
      <x:c r="F41" s="190"/>
      <x:c r="G41" s="190"/>
      <x:c r="H41" s="190"/>
      <x:c r="I41" s="190"/>
      <x:c r="J41" s="190"/>
      <x:c r="K41" s="190"/>
      <x:c r="L41" s="190"/>
      <x:c r="M41" s="190"/>
      <x:c r="N41" s="190"/>
      <x:c r="O41" s="190"/>
      <x:c r="P41" s="190"/>
      <x:c r="Q41" s="190"/>
    </x:row>
    <x:row r="42" ht="21" customHeight="1">
      <x:c r="A42" s="162"/>
      <x:c r="B42" s="162"/>
      <x:c r="C42" s="162"/>
      <x:c r="D42" s="162"/>
      <x:c r="E42" s="162"/>
      <x:c r="F42" s="162"/>
      <x:c r="G42" s="162"/>
      <x:c r="H42" s="162"/>
      <x:c r="I42" s="162"/>
      <x:c r="J42" s="162"/>
      <x:c r="K42" s="162"/>
      <x:c r="L42" s="162"/>
      <x:c r="M42" s="162"/>
      <x:c r="N42" s="162"/>
      <x:c r="O42" s="162"/>
      <x:c r="P42" s="162"/>
      <x:c r="Q42" s="162"/>
    </x:row>
    <x:row r="43" ht="21" customHeight="1">
      <x:c r="A43" s="162"/>
      <x:c r="B43" s="162"/>
      <x:c r="C43" s="162"/>
      <x:c r="D43" s="162"/>
      <x:c r="E43" s="162"/>
      <x:c r="F43" s="162"/>
      <x:c r="G43" s="162"/>
      <x:c r="H43" s="162"/>
      <x:c r="I43" s="162"/>
      <x:c r="J43" s="162"/>
      <x:c r="K43" s="162"/>
      <x:c r="L43" s="162"/>
      <x:c r="M43" s="162"/>
      <x:c r="N43" s="162"/>
      <x:c r="O43" s="162"/>
      <x:c r="P43" s="162"/>
      <x:c r="Q43" s="162"/>
    </x:row>
    <x:row r="44" ht="21" customHeight="1">
      <x:c r="A44" s="162"/>
      <x:c r="B44" s="162"/>
      <x:c r="C44" s="162"/>
      <x:c r="D44" s="162"/>
      <x:c r="E44" s="162"/>
      <x:c r="F44" s="162"/>
      <x:c r="G44" s="162"/>
      <x:c r="H44" s="162"/>
      <x:c r="I44" s="162"/>
      <x:c r="J44" s="162"/>
      <x:c r="K44" s="162"/>
      <x:c r="L44" s="162"/>
      <x:c r="M44" s="162"/>
      <x:c r="N44" s="162"/>
      <x:c r="O44" s="162"/>
      <x:c r="P44" s="162"/>
      <x:c r="Q44" s="162"/>
    </x:row>
    <x:row r="45" ht="21" customHeight="1">
      <x:c r="A45" s="162"/>
      <x:c r="B45" s="162"/>
      <x:c r="C45" s="162"/>
      <x:c r="D45" s="162"/>
      <x:c r="E45" s="162"/>
      <x:c r="F45" s="162"/>
      <x:c r="G45" s="162"/>
      <x:c r="H45" s="162"/>
      <x:c r="I45" s="162"/>
      <x:c r="J45" s="162"/>
      <x:c r="K45" s="162"/>
      <x:c r="L45" s="162"/>
      <x:c r="M45" s="162"/>
      <x:c r="N45" s="162"/>
      <x:c r="O45" s="162"/>
      <x:c r="P45" s="162"/>
      <x:c r="Q45" s="162"/>
    </x:row>
  </x:sheetData>
  <x:mergeCells>
    <x:mergeCell ref="A1:H1"/>
    <x:mergeCell ref="A13:H13"/>
    <x:mergeCell ref="B2:Q3"/>
    <x:mergeCell ref="B4:Q4"/>
    <x:mergeCell ref="B6:D6"/>
    <x:mergeCell ref="F6:H6"/>
    <x:mergeCell ref="J6:L6"/>
    <x:mergeCell ref="N6:Q6"/>
    <x:mergeCell ref="B14:D14"/>
    <x:mergeCell ref="F14:H14"/>
    <x:mergeCell ref="J14:L14"/>
    <x:mergeCell ref="N14:Q14"/>
    <x:mergeCell ref="B21:Q21"/>
    <x:mergeCell ref="K23:Q23"/>
    <x:mergeCell ref="B40:Q41"/>
  </x:mergeCells>
  <x:conditionalFormatting sqref="I24:I37">
    <x:cfRule type="dataBar" priority="1">
      <x:dataBar>
        <x:cfvo type="min"/>
        <x:cfvo type="max"/>
        <x:color rgb="FF22C55E"/>
      </x:dataBar>
      <x:extLst>
        <x:ext xmlns:x14="http://schemas.microsoft.com/office/spreadsheetml/2009/9/main" uri="{B025F937-C7B1-47D3-B67F-A62EFF666E3E}">
          <x14:id>{E5D2A047-4238-8741-E2B3-85669B88D1C8}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E5D2A047-4238-8741-E2B3-85669B88D1C8}">
            <x14:dataBar gradient="1">
              <x14:cfvo type="min"/>
              <x14:cfvo type="max"/>
              <x14:fillColor rgb="FF22C55E"/>
            </x14:dataBar>
          </x14:cfRule>
          <xm:sqref>I24:I37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4" hidden="0" customWidth="1"/>
    <x:col min="3" max="3" width="18" hidden="0" customWidth="1"/>
    <x:col min="4" max="4" width="24" hidden="0" customWidth="1"/>
    <x:col min="5" max="5" width="12" hidden="0" customWidth="1"/>
    <x:col min="6" max="6" width="10" hidden="0" customWidth="1"/>
    <x:col min="7" max="7" width="42" hidden="0" customWidth="1"/>
    <x:col min="8" max="8" width="4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34" hidden="0" customWidth="1"/>
    <x:col min="14" max="14" width="24" hidden="0" customWidth="1"/>
    <x:col min="15" max="15" width="12" hidden="0" customWidth="1"/>
    <x:col min="16" max="16" width="12" hidden="0" customWidth="1"/>
    <x:col min="17" max="17" width="18" hidden="0" customWidth="1"/>
  </x:cols>
  <x:sheetData>
    <x:row r="1" ht="28" customHeight="1">
      <x:c r="A1" s="38" t="str">
        <x:v>Seq</x:v>
      </x:c>
      <x:c r="B1" s="38" t="str">
        <x:v>Planned Date</x:v>
      </x:c>
      <x:c r="C1" s="38" t="str">
        <x:v>Phase</x:v>
      </x:c>
      <x:c r="D1" s="38" t="str">
        <x:v>Topic</x:v>
      </x:c>
      <x:c r="E1" s="38" t="str">
        <x:v>Difficulty</x:v>
      </x:c>
      <x:c r="F1" s="38" t="str">
        <x:v>LC ID</x:v>
      </x:c>
      <x:c r="G1" s="38" t="str">
        <x:v>Problem Title</x:v>
      </x:c>
      <x:c r="H1" s="38" t="str">
        <x:v>Problem URL</x:v>
      </x:c>
      <x:c r="I1" s="38" t="str">
        <x:v>Status</x:v>
      </x:c>
      <x:c r="J1" s="38" t="str">
        <x:v>Attempt Date</x:v>
      </x:c>
      <x:c r="K1" s="38" t="str">
        <x:v>Revision 1</x:v>
      </x:c>
      <x:c r="L1" s="38" t="str">
        <x:v>Revision 2</x:v>
      </x:c>
      <x:c r="M1" s="38" t="str">
        <x:v>Notes / Mistakes</x:v>
      </x:c>
      <x:c r="N1" s="38" t="str">
        <x:v>Pattern Learned</x:v>
      </x:c>
      <x:c r="O1" s="38" t="str">
        <x:v>Time Spent</x:v>
      </x:c>
      <x:c r="P1" s="38" t="str">
        <x:v>Confidence</x:v>
      </x:c>
      <x:c r="Q1" s="38" t="str">
        <x:v>Mode</x:v>
      </x:c>
    </x:row>
    <x:row r="2">
      <x:c r="A2" s="15" t="n">
        <x:v>1</x:v>
      </x:c>
      <x:c r="B2" s="39"/>
      <x:c r="C2" s="15" t="str">
        <x:v>Already solved - revise</x:v>
      </x:c>
      <x:c r="D2" s="15" t="str">
        <x:v>Arrays &amp; Hashing</x:v>
      </x:c>
      <x:c r="E2" s="15" t="str">
        <x:v>Easy</x:v>
      </x:c>
      <x:c r="F2" s="15" t="n">
        <x:v>1</x:v>
      </x:c>
      <x:c r="G2" s="15" t="str">
        <x:v>Two Sum</x:v>
      </x:c>
      <x:c r="H2" s="15" t="str">
        <x:v>https://leetcode.com/problems/two-sum/</x:v>
      </x:c>
      <x:c r="I2" s="15" t="str">
        <x:v>Done</x:v>
      </x:c>
      <x:c r="J2" s="39"/>
      <x:c r="K2" s="39"/>
      <x:c r="L2" s="39"/>
      <x:c r="M2" s="15" t="str"/>
      <x:c r="N2" s="15" t="str"/>
      <x:c r="O2" s="15" t="str"/>
      <x:c r="P2" s="15" t="str"/>
      <x:c r="Q2" s="15" t="str">
        <x:v>Revision / Confirmed</x:v>
      </x:c>
    </x:row>
    <x:row r="3">
      <x:c r="A3" s="15" t="n">
        <x:v>2</x:v>
      </x:c>
      <x:c r="B3" s="39"/>
      <x:c r="C3" s="15" t="str">
        <x:v>Already solved - revise</x:v>
      </x:c>
      <x:c r="D3" s="15" t="str">
        <x:v>Arrays &amp; Hashing</x:v>
      </x:c>
      <x:c r="E3" s="15" t="str">
        <x:v>Easy</x:v>
      </x:c>
      <x:c r="F3" s="15" t="n">
        <x:v>217</x:v>
      </x:c>
      <x:c r="G3" s="15" t="str">
        <x:v>Contains Duplicate</x:v>
      </x:c>
      <x:c r="H3" s="15" t="str">
        <x:v>https://leetcode.com/problems/contains-duplicate/</x:v>
      </x:c>
      <x:c r="I3" s="15" t="str">
        <x:v>Done</x:v>
      </x:c>
      <x:c r="J3" s="39"/>
      <x:c r="K3" s="39"/>
      <x:c r="L3" s="39"/>
      <x:c r="M3" s="15" t="str"/>
      <x:c r="N3" s="15" t="str"/>
      <x:c r="O3" s="15" t="str"/>
      <x:c r="P3" s="15" t="str"/>
      <x:c r="Q3" s="15" t="str">
        <x:v>Revision / Confirmed</x:v>
      </x:c>
    </x:row>
    <x:row r="4">
      <x:c r="A4" s="15" t="n">
        <x:v>3</x:v>
      </x:c>
      <x:c r="B4" s="39" t="n">
        <x:v>46210</x:v>
      </x:c>
      <x:c r="C4" s="15" t="str">
        <x:v>Phase 1: 1/day</x:v>
      </x:c>
      <x:c r="D4" s="15" t="str">
        <x:v>Arrays &amp; Hashing</x:v>
      </x:c>
      <x:c r="E4" s="15" t="str">
        <x:v>Easy</x:v>
      </x:c>
      <x:c r="F4" s="15" t="n">
        <x:v>242</x:v>
      </x:c>
      <x:c r="G4" s="15" t="str">
        <x:v>Valid Anagram</x:v>
      </x:c>
      <x:c r="H4" s="15" t="str">
        <x:v>https://leetcode.com/problems/valid-anagram/</x:v>
      </x:c>
      <x:c r="I4" s="15" t="str">
        <x:v>Not Started</x:v>
      </x:c>
      <x:c r="J4" s="39"/>
      <x:c r="K4" s="39"/>
      <x:c r="L4" s="39"/>
      <x:c r="M4" s="15" t="str"/>
      <x:c r="N4" s="15" t="str"/>
      <x:c r="O4" s="15" t="str"/>
      <x:c r="P4" s="15" t="str"/>
      <x:c r="Q4" s="15" t="str">
        <x:v>New Solve</x:v>
      </x:c>
    </x:row>
    <x:row r="5">
      <x:c r="A5" s="15" t="n">
        <x:v>4</x:v>
      </x:c>
      <x:c r="B5" s="39" t="n">
        <x:v>46211</x:v>
      </x:c>
      <x:c r="C5" s="15" t="str">
        <x:v>Phase 1: 1/day</x:v>
      </x:c>
      <x:c r="D5" s="15" t="str">
        <x:v>Arrays &amp; Hashing</x:v>
      </x:c>
      <x:c r="E5" s="15" t="str">
        <x:v>Medium</x:v>
      </x:c>
      <x:c r="F5" s="15" t="n">
        <x:v>49</x:v>
      </x:c>
      <x:c r="G5" s="15" t="str">
        <x:v>Group Anagrams</x:v>
      </x:c>
      <x:c r="H5" s="15" t="str">
        <x:v>https://leetcode.com/problems/group-anagrams/</x:v>
      </x:c>
      <x:c r="I5" s="15" t="str">
        <x:v>Not Started</x:v>
      </x:c>
      <x:c r="J5" s="39"/>
      <x:c r="K5" s="39"/>
      <x:c r="L5" s="39"/>
      <x:c r="M5" s="15" t="str"/>
      <x:c r="N5" s="15" t="str"/>
      <x:c r="O5" s="15" t="str"/>
      <x:c r="P5" s="15" t="str"/>
      <x:c r="Q5" s="15" t="str">
        <x:v>New Solve</x:v>
      </x:c>
    </x:row>
    <x:row r="6">
      <x:c r="A6" s="15" t="n">
        <x:v>5</x:v>
      </x:c>
      <x:c r="B6" s="39" t="n">
        <x:v>46212</x:v>
      </x:c>
      <x:c r="C6" s="15" t="str">
        <x:v>Phase 1: 1/day</x:v>
      </x:c>
      <x:c r="D6" s="15" t="str">
        <x:v>Arrays &amp; Hashing</x:v>
      </x:c>
      <x:c r="E6" s="15" t="str">
        <x:v>Medium</x:v>
      </x:c>
      <x:c r="F6" s="15" t="n">
        <x:v>347</x:v>
      </x:c>
      <x:c r="G6" s="15" t="str">
        <x:v>Top K Frequent Elements</x:v>
      </x:c>
      <x:c r="H6" s="15" t="str">
        <x:v>https://leetcode.com/problems/top-k-frequent-elements/</x:v>
      </x:c>
      <x:c r="I6" s="15" t="str">
        <x:v>Not Started</x:v>
      </x:c>
      <x:c r="J6" s="39"/>
      <x:c r="K6" s="39"/>
      <x:c r="L6" s="39"/>
      <x:c r="M6" s="15" t="str"/>
      <x:c r="N6" s="15" t="str"/>
      <x:c r="O6" s="15" t="str"/>
      <x:c r="P6" s="15" t="str"/>
      <x:c r="Q6" s="15" t="str">
        <x:v>New Solve</x:v>
      </x:c>
    </x:row>
    <x:row r="7">
      <x:c r="A7" s="15" t="n">
        <x:v>6</x:v>
      </x:c>
      <x:c r="B7" s="39"/>
      <x:c r="C7" s="15" t="str">
        <x:v>Already solved - revise</x:v>
      </x:c>
      <x:c r="D7" s="15" t="str">
        <x:v>Arrays &amp; Hashing</x:v>
      </x:c>
      <x:c r="E7" s="15" t="str">
        <x:v>Medium</x:v>
      </x:c>
      <x:c r="F7" s="15" t="n">
        <x:v>238</x:v>
      </x:c>
      <x:c r="G7" s="15" t="str">
        <x:v>Product of Array Except Self</x:v>
      </x:c>
      <x:c r="H7" s="15" t="str">
        <x:v>https://leetcode.com/problems/product-of-array-except-self/</x:v>
      </x:c>
      <x:c r="I7" s="15" t="str">
        <x:v>Done</x:v>
      </x:c>
      <x:c r="J7" s="39"/>
      <x:c r="K7" s="39"/>
      <x:c r="L7" s="39"/>
      <x:c r="M7" s="15" t="str"/>
      <x:c r="N7" s="15" t="str"/>
      <x:c r="O7" s="15" t="str"/>
      <x:c r="P7" s="15" t="str"/>
      <x:c r="Q7" s="15" t="str">
        <x:v>Revision / Confirmed</x:v>
      </x:c>
    </x:row>
    <x:row r="8">
      <x:c r="A8" s="15" t="n">
        <x:v>7</x:v>
      </x:c>
      <x:c r="B8" s="39" t="n">
        <x:v>46213</x:v>
      </x:c>
      <x:c r="C8" s="15" t="str">
        <x:v>Phase 1: 1/day</x:v>
      </x:c>
      <x:c r="D8" s="15" t="str">
        <x:v>Arrays &amp; Hashing</x:v>
      </x:c>
      <x:c r="E8" s="15" t="str">
        <x:v>Medium</x:v>
      </x:c>
      <x:c r="F8" s="15" t="n">
        <x:v>36</x:v>
      </x:c>
      <x:c r="G8" s="15" t="str">
        <x:v>Valid Sudoku</x:v>
      </x:c>
      <x:c r="H8" s="15" t="str">
        <x:v>https://leetcode.com/problems/valid-sudoku/</x:v>
      </x:c>
      <x:c r="I8" s="15" t="str">
        <x:v>Not Started</x:v>
      </x:c>
      <x:c r="J8" s="39"/>
      <x:c r="K8" s="39"/>
      <x:c r="L8" s="39"/>
      <x:c r="M8" s="15" t="str"/>
      <x:c r="N8" s="15" t="str"/>
      <x:c r="O8" s="15" t="str"/>
      <x:c r="P8" s="15" t="str"/>
      <x:c r="Q8" s="15" t="str">
        <x:v>New Solve</x:v>
      </x:c>
    </x:row>
    <x:row r="9">
      <x:c r="A9" s="15" t="n">
        <x:v>8</x:v>
      </x:c>
      <x:c r="B9" s="39" t="n">
        <x:v>46214</x:v>
      </x:c>
      <x:c r="C9" s="15" t="str">
        <x:v>Phase 1: 1/day</x:v>
      </x:c>
      <x:c r="D9" s="15" t="str">
        <x:v>Arrays &amp; Hashing</x:v>
      </x:c>
      <x:c r="E9" s="15" t="str">
        <x:v>Medium</x:v>
      </x:c>
      <x:c r="F9" s="15" t="n">
        <x:v>128</x:v>
      </x:c>
      <x:c r="G9" s="15" t="str">
        <x:v>Longest Consecutive Sequence</x:v>
      </x:c>
      <x:c r="H9" s="15" t="str">
        <x:v>https://leetcode.com/problems/longest-consecutive-sequence/</x:v>
      </x:c>
      <x:c r="I9" s="15" t="str">
        <x:v>Not Started</x:v>
      </x:c>
      <x:c r="J9" s="39"/>
      <x:c r="K9" s="39"/>
      <x:c r="L9" s="39"/>
      <x:c r="M9" s="15" t="str"/>
      <x:c r="N9" s="15" t="str"/>
      <x:c r="O9" s="15" t="str"/>
      <x:c r="P9" s="15" t="str"/>
      <x:c r="Q9" s="15" t="str">
        <x:v>New Solve</x:v>
      </x:c>
    </x:row>
    <x:row r="10">
      <x:c r="A10" s="15" t="n">
        <x:v>9</x:v>
      </x:c>
      <x:c r="B10" s="39"/>
      <x:c r="C10" s="15" t="str">
        <x:v>Already solved - revise</x:v>
      </x:c>
      <x:c r="D10" s="15" t="str">
        <x:v>Arrays &amp; Hashing</x:v>
      </x:c>
      <x:c r="E10" s="15" t="str">
        <x:v>Easy</x:v>
      </x:c>
      <x:c r="F10" s="15" t="n">
        <x:v>1929</x:v>
      </x:c>
      <x:c r="G10" s="15" t="str">
        <x:v>Concatenation of Array</x:v>
      </x:c>
      <x:c r="H10" s="15" t="str">
        <x:v>https://leetcode.com/problems/concatenation-of-array/</x:v>
      </x:c>
      <x:c r="I10" s="15" t="str">
        <x:v>Done</x:v>
      </x:c>
      <x:c r="J10" s="39"/>
      <x:c r="K10" s="39"/>
      <x:c r="L10" s="39"/>
      <x:c r="M10" s="15" t="str"/>
      <x:c r="N10" s="15" t="str"/>
      <x:c r="O10" s="15" t="str"/>
      <x:c r="P10" s="15" t="str"/>
      <x:c r="Q10" s="15" t="str">
        <x:v>Revision / Confirmed</x:v>
      </x:c>
    </x:row>
    <x:row r="11">
      <x:c r="A11" s="15" t="n">
        <x:v>10</x:v>
      </x:c>
      <x:c r="B11" s="39"/>
      <x:c r="C11" s="15" t="str">
        <x:v>Already solved - revise</x:v>
      </x:c>
      <x:c r="D11" s="15" t="str">
        <x:v>Arrays &amp; Hashing</x:v>
      </x:c>
      <x:c r="E11" s="15" t="str">
        <x:v>Easy</x:v>
      </x:c>
      <x:c r="F11" s="15" t="n">
        <x:v>1920</x:v>
      </x:c>
      <x:c r="G11" s="15" t="str">
        <x:v>Build Array from Permutation</x:v>
      </x:c>
      <x:c r="H11" s="15" t="str">
        <x:v>https://leetcode.com/problems/build-array-from-permutation/</x:v>
      </x:c>
      <x:c r="I11" s="15" t="str">
        <x:v>Done</x:v>
      </x:c>
      <x:c r="J11" s="39"/>
      <x:c r="K11" s="39"/>
      <x:c r="L11" s="39"/>
      <x:c r="M11" s="15" t="str"/>
      <x:c r="N11" s="15" t="str"/>
      <x:c r="O11" s="15" t="str"/>
      <x:c r="P11" s="15" t="str"/>
      <x:c r="Q11" s="15" t="str">
        <x:v>Revision / Confirmed</x:v>
      </x:c>
    </x:row>
    <x:row r="12">
      <x:c r="A12" s="15" t="n">
        <x:v>11</x:v>
      </x:c>
      <x:c r="B12" s="39"/>
      <x:c r="C12" s="15" t="str">
        <x:v>Already solved - revise</x:v>
      </x:c>
      <x:c r="D12" s="15" t="str">
        <x:v>Arrays &amp; Hashing</x:v>
      </x:c>
      <x:c r="E12" s="15" t="str">
        <x:v>Easy</x:v>
      </x:c>
      <x:c r="F12" s="15" t="n">
        <x:v>1470</x:v>
      </x:c>
      <x:c r="G12" s="15" t="str">
        <x:v>Shuffle the Array</x:v>
      </x:c>
      <x:c r="H12" s="15" t="str">
        <x:v>https://leetcode.com/problems/shuffle-the-array/</x:v>
      </x:c>
      <x:c r="I12" s="15" t="str">
        <x:v>Done</x:v>
      </x:c>
      <x:c r="J12" s="39"/>
      <x:c r="K12" s="39"/>
      <x:c r="L12" s="39"/>
      <x:c r="M12" s="15" t="str"/>
      <x:c r="N12" s="15" t="str"/>
      <x:c r="O12" s="15" t="str"/>
      <x:c r="P12" s="15" t="str"/>
      <x:c r="Q12" s="15" t="str">
        <x:v>Revision / Confirmed</x:v>
      </x:c>
    </x:row>
    <x:row r="13">
      <x:c r="A13" s="15" t="n">
        <x:v>12</x:v>
      </x:c>
      <x:c r="B13" s="39" t="n">
        <x:v>46215</x:v>
      </x:c>
      <x:c r="C13" s="15" t="str">
        <x:v>Phase 1: 1/day</x:v>
      </x:c>
      <x:c r="D13" s="15" t="str">
        <x:v>Arrays &amp; Hashing</x:v>
      </x:c>
      <x:c r="E13" s="15" t="str">
        <x:v>Easy</x:v>
      </x:c>
      <x:c r="F13" s="15" t="n">
        <x:v>1512</x:v>
      </x:c>
      <x:c r="G13" s="15" t="str">
        <x:v>Number of Good Pairs</x:v>
      </x:c>
      <x:c r="H13" s="15" t="str">
        <x:v>https://leetcode.com/problems/number-of-good-pairs/</x:v>
      </x:c>
      <x:c r="I13" s="15" t="str">
        <x:v>Not Started</x:v>
      </x:c>
      <x:c r="J13" s="39"/>
      <x:c r="K13" s="39"/>
      <x:c r="L13" s="39"/>
      <x:c r="M13" s="15" t="str"/>
      <x:c r="N13" s="15" t="str"/>
      <x:c r="O13" s="15" t="str"/>
      <x:c r="P13" s="15" t="str"/>
      <x:c r="Q13" s="15" t="str">
        <x:v>New Solve</x:v>
      </x:c>
    </x:row>
    <x:row r="14">
      <x:c r="A14" s="15" t="n">
        <x:v>13</x:v>
      </x:c>
      <x:c r="B14" s="39" t="n">
        <x:v>46216</x:v>
      </x:c>
      <x:c r="C14" s="15" t="str">
        <x:v>Phase 1: 1/day</x:v>
      </x:c>
      <x:c r="D14" s="15" t="str">
        <x:v>Arrays &amp; Hashing</x:v>
      </x:c>
      <x:c r="E14" s="15" t="str">
        <x:v>Easy</x:v>
      </x:c>
      <x:c r="F14" s="15" t="n">
        <x:v>1480</x:v>
      </x:c>
      <x:c r="G14" s="15" t="str">
        <x:v>Running Sum of 1d Array</x:v>
      </x:c>
      <x:c r="H14" s="15" t="str">
        <x:v>https://leetcode.com/problems/running-sum-of-1d-array/</x:v>
      </x:c>
      <x:c r="I14" s="15" t="str">
        <x:v>Not Started</x:v>
      </x:c>
      <x:c r="J14" s="39"/>
      <x:c r="K14" s="39"/>
      <x:c r="L14" s="39"/>
      <x:c r="M14" s="15" t="str"/>
      <x:c r="N14" s="15" t="str"/>
      <x:c r="O14" s="15" t="str"/>
      <x:c r="P14" s="15" t="str"/>
      <x:c r="Q14" s="15" t="str">
        <x:v>New Solve</x:v>
      </x:c>
    </x:row>
    <x:row r="15">
      <x:c r="A15" s="15" t="n">
        <x:v>14</x:v>
      </x:c>
      <x:c r="B15" s="39" t="n">
        <x:v>46217</x:v>
      </x:c>
      <x:c r="C15" s="15" t="str">
        <x:v>Phase 1: 1/day</x:v>
      </x:c>
      <x:c r="D15" s="15" t="str">
        <x:v>Arrays &amp; Hashing</x:v>
      </x:c>
      <x:c r="E15" s="15" t="str">
        <x:v>Easy</x:v>
      </x:c>
      <x:c r="F15" s="15" t="n">
        <x:v>724</x:v>
      </x:c>
      <x:c r="G15" s="15" t="str">
        <x:v>Find Pivot Index</x:v>
      </x:c>
      <x:c r="H15" s="15" t="str">
        <x:v>https://leetcode.com/problems/find-pivot-index/</x:v>
      </x:c>
      <x:c r="I15" s="15" t="str">
        <x:v>Not Started</x:v>
      </x:c>
      <x:c r="J15" s="39"/>
      <x:c r="K15" s="39"/>
      <x:c r="L15" s="39"/>
      <x:c r="M15" s="15" t="str"/>
      <x:c r="N15" s="15" t="str"/>
      <x:c r="O15" s="15" t="str"/>
      <x:c r="P15" s="15" t="str"/>
      <x:c r="Q15" s="15" t="str">
        <x:v>New Solve</x:v>
      </x:c>
    </x:row>
    <x:row r="16">
      <x:c r="A16" s="15" t="n">
        <x:v>15</x:v>
      </x:c>
      <x:c r="B16" s="39" t="n">
        <x:v>46218</x:v>
      </x:c>
      <x:c r="C16" s="15" t="str">
        <x:v>Phase 1: 1/day</x:v>
      </x:c>
      <x:c r="D16" s="15" t="str">
        <x:v>Arrays &amp; Hashing</x:v>
      </x:c>
      <x:c r="E16" s="15" t="str">
        <x:v>Easy</x:v>
      </x:c>
      <x:c r="F16" s="15" t="n">
        <x:v>303</x:v>
      </x:c>
      <x:c r="G16" s="15" t="str">
        <x:v>Range Sum Query - Immutable</x:v>
      </x:c>
      <x:c r="H16" s="15" t="str">
        <x:v>https://leetcode.com/problems/range-sum-query-immutable/</x:v>
      </x:c>
      <x:c r="I16" s="15" t="str">
        <x:v>Not Started</x:v>
      </x:c>
      <x:c r="J16" s="39"/>
      <x:c r="K16" s="39"/>
      <x:c r="L16" s="39"/>
      <x:c r="M16" s="15" t="str"/>
      <x:c r="N16" s="15" t="str"/>
      <x:c r="O16" s="15" t="str"/>
      <x:c r="P16" s="15" t="str"/>
      <x:c r="Q16" s="15" t="str">
        <x:v>New Solve</x:v>
      </x:c>
    </x:row>
    <x:row r="17">
      <x:c r="A17" s="15" t="n">
        <x:v>16</x:v>
      </x:c>
      <x:c r="B17" s="39" t="n">
        <x:v>46219</x:v>
      </x:c>
      <x:c r="C17" s="15" t="str">
        <x:v>Phase 1: 1/day</x:v>
      </x:c>
      <x:c r="D17" s="15" t="str">
        <x:v>Arrays &amp; Hashing</x:v>
      </x:c>
      <x:c r="E17" s="15" t="str">
        <x:v>Medium</x:v>
      </x:c>
      <x:c r="F17" s="15" t="n">
        <x:v>304</x:v>
      </x:c>
      <x:c r="G17" s="15" t="str">
        <x:v>Range Sum Query 2D - Immutable</x:v>
      </x:c>
      <x:c r="H17" s="15" t="str">
        <x:v>https://leetcode.com/problems/range-sum-query-2d-immutable/</x:v>
      </x:c>
      <x:c r="I17" s="15" t="str">
        <x:v>Not Started</x:v>
      </x:c>
      <x:c r="J17" s="39"/>
      <x:c r="K17" s="39"/>
      <x:c r="L17" s="39"/>
      <x:c r="M17" s="15" t="str"/>
      <x:c r="N17" s="15" t="str"/>
      <x:c r="O17" s="15" t="str"/>
      <x:c r="P17" s="15" t="str"/>
      <x:c r="Q17" s="15" t="str">
        <x:v>New Solve</x:v>
      </x:c>
    </x:row>
    <x:row r="18">
      <x:c r="A18" s="15" t="n">
        <x:v>17</x:v>
      </x:c>
      <x:c r="B18" s="39" t="n">
        <x:v>46220</x:v>
      </x:c>
      <x:c r="C18" s="15" t="str">
        <x:v>Phase 1: 1/day</x:v>
      </x:c>
      <x:c r="D18" s="15" t="str">
        <x:v>Arrays &amp; Hashing</x:v>
      </x:c>
      <x:c r="E18" s="15" t="str">
        <x:v>Medium</x:v>
      </x:c>
      <x:c r="F18" s="15" t="n">
        <x:v>560</x:v>
      </x:c>
      <x:c r="G18" s="15" t="str">
        <x:v>Subarray Sum Equals K</x:v>
      </x:c>
      <x:c r="H18" s="15" t="str">
        <x:v>https://leetcode.com/problems/subarray-sum-equals-k/</x:v>
      </x:c>
      <x:c r="I18" s="15" t="str">
        <x:v>Not Started</x:v>
      </x:c>
      <x:c r="J18" s="39"/>
      <x:c r="K18" s="39"/>
      <x:c r="L18" s="39"/>
      <x:c r="M18" s="15" t="str"/>
      <x:c r="N18" s="15" t="str"/>
      <x:c r="O18" s="15" t="str"/>
      <x:c r="P18" s="15" t="str"/>
      <x:c r="Q18" s="15" t="str">
        <x:v>New Solve</x:v>
      </x:c>
    </x:row>
    <x:row r="19">
      <x:c r="A19" s="15" t="n">
        <x:v>18</x:v>
      </x:c>
      <x:c r="B19" s="39" t="n">
        <x:v>46221</x:v>
      </x:c>
      <x:c r="C19" s="15" t="str">
        <x:v>Phase 1: 1/day</x:v>
      </x:c>
      <x:c r="D19" s="15" t="str">
        <x:v>Arrays &amp; Hashing</x:v>
      </x:c>
      <x:c r="E19" s="15" t="str">
        <x:v>Medium</x:v>
      </x:c>
      <x:c r="F19" s="15" t="n">
        <x:v>525</x:v>
      </x:c>
      <x:c r="G19" s="15" t="str">
        <x:v>Contiguous Array</x:v>
      </x:c>
      <x:c r="H19" s="15" t="str">
        <x:v>https://leetcode.com/problems/contiguous-array/</x:v>
      </x:c>
      <x:c r="I19" s="15" t="str">
        <x:v>Not Started</x:v>
      </x:c>
      <x:c r="J19" s="39"/>
      <x:c r="K19" s="39"/>
      <x:c r="L19" s="39"/>
      <x:c r="M19" s="15" t="str"/>
      <x:c r="N19" s="15" t="str"/>
      <x:c r="O19" s="15" t="str"/>
      <x:c r="P19" s="15" t="str"/>
      <x:c r="Q19" s="15" t="str">
        <x:v>New Solve</x:v>
      </x:c>
    </x:row>
    <x:row r="20">
      <x:c r="A20" s="15" t="n">
        <x:v>19</x:v>
      </x:c>
      <x:c r="B20" s="39" t="n">
        <x:v>46222</x:v>
      </x:c>
      <x:c r="C20" s="15" t="str">
        <x:v>Phase 1: 1/day</x:v>
      </x:c>
      <x:c r="D20" s="15" t="str">
        <x:v>Arrays &amp; Hashing</x:v>
      </x:c>
      <x:c r="E20" s="15" t="str">
        <x:v>Medium</x:v>
      </x:c>
      <x:c r="F20" s="15" t="n">
        <x:v>974</x:v>
      </x:c>
      <x:c r="G20" s="15" t="str">
        <x:v>Subarray Sums Divisible by K</x:v>
      </x:c>
      <x:c r="H20" s="15" t="str">
        <x:v>https://leetcode.com/problems/subarray-sums-divisible-by-k/</x:v>
      </x:c>
      <x:c r="I20" s="15" t="str">
        <x:v>Not Started</x:v>
      </x:c>
      <x:c r="J20" s="39"/>
      <x:c r="K20" s="39"/>
      <x:c r="L20" s="39"/>
      <x:c r="M20" s="15" t="str"/>
      <x:c r="N20" s="15" t="str"/>
      <x:c r="O20" s="15" t="str"/>
      <x:c r="P20" s="15" t="str"/>
      <x:c r="Q20" s="15" t="str">
        <x:v>New Solve</x:v>
      </x:c>
    </x:row>
    <x:row r="21">
      <x:c r="A21" s="15" t="n">
        <x:v>20</x:v>
      </x:c>
      <x:c r="B21" s="39" t="n">
        <x:v>46223</x:v>
      </x:c>
      <x:c r="C21" s="15" t="str">
        <x:v>Phase 1: 1/day</x:v>
      </x:c>
      <x:c r="D21" s="15" t="str">
        <x:v>Arrays &amp; Hashing</x:v>
      </x:c>
      <x:c r="E21" s="15" t="str">
        <x:v>Medium</x:v>
      </x:c>
      <x:c r="F21" s="15" t="n">
        <x:v>523</x:v>
      </x:c>
      <x:c r="G21" s="15" t="str">
        <x:v>Continuous Subarray Sum</x:v>
      </x:c>
      <x:c r="H21" s="15" t="str">
        <x:v>https://leetcode.com/problems/continuous-subarray-sum/</x:v>
      </x:c>
      <x:c r="I21" s="15" t="str">
        <x:v>Not Started</x:v>
      </x:c>
      <x:c r="J21" s="39"/>
      <x:c r="K21" s="39"/>
      <x:c r="L21" s="39"/>
      <x:c r="M21" s="15" t="str"/>
      <x:c r="N21" s="15" t="str"/>
      <x:c r="O21" s="15" t="str"/>
      <x:c r="P21" s="15" t="str"/>
      <x:c r="Q21" s="15" t="str">
        <x:v>New Solve</x:v>
      </x:c>
    </x:row>
    <x:row r="22">
      <x:c r="A22" s="15" t="n">
        <x:v>21</x:v>
      </x:c>
      <x:c r="B22" s="39" t="n">
        <x:v>46224</x:v>
      </x:c>
      <x:c r="C22" s="15" t="str">
        <x:v>Phase 1: 1/day</x:v>
      </x:c>
      <x:c r="D22" s="15" t="str">
        <x:v>Arrays &amp; Hashing</x:v>
      </x:c>
      <x:c r="E22" s="15" t="str">
        <x:v>Medium</x:v>
      </x:c>
      <x:c r="F22" s="15" t="n">
        <x:v>454</x:v>
      </x:c>
      <x:c r="G22" s="15" t="str">
        <x:v>4Sum II</x:v>
      </x:c>
      <x:c r="H22" s="15" t="str">
        <x:v>https://leetcode.com/problems/4sum-ii/</x:v>
      </x:c>
      <x:c r="I22" s="15" t="str">
        <x:v>Not Started</x:v>
      </x:c>
      <x:c r="J22" s="39"/>
      <x:c r="K22" s="39"/>
      <x:c r="L22" s="39"/>
      <x:c r="M22" s="15" t="str"/>
      <x:c r="N22" s="15" t="str"/>
      <x:c r="O22" s="15" t="str"/>
      <x:c r="P22" s="15" t="str"/>
      <x:c r="Q22" s="15" t="str">
        <x:v>New Solve</x:v>
      </x:c>
    </x:row>
    <x:row r="23">
      <x:c r="A23" s="15" t="n">
        <x:v>22</x:v>
      </x:c>
      <x:c r="B23" s="39" t="n">
        <x:v>46225</x:v>
      </x:c>
      <x:c r="C23" s="15" t="str">
        <x:v>Phase 1: 1/day</x:v>
      </x:c>
      <x:c r="D23" s="15" t="str">
        <x:v>Arrays &amp; Hashing</x:v>
      </x:c>
      <x:c r="E23" s="15" t="str">
        <x:v>Hard</x:v>
      </x:c>
      <x:c r="F23" s="15" t="n">
        <x:v>41</x:v>
      </x:c>
      <x:c r="G23" s="15" t="str">
        <x:v>First Missing Positive</x:v>
      </x:c>
      <x:c r="H23" s="15" t="str">
        <x:v>https://leetcode.com/problems/first-missing-positive/</x:v>
      </x:c>
      <x:c r="I23" s="15" t="str">
        <x:v>Not Started</x:v>
      </x:c>
      <x:c r="J23" s="39"/>
      <x:c r="K23" s="39"/>
      <x:c r="L23" s="39"/>
      <x:c r="M23" s="15" t="str"/>
      <x:c r="N23" s="15" t="str"/>
      <x:c r="O23" s="15" t="str"/>
      <x:c r="P23" s="15" t="str"/>
      <x:c r="Q23" s="15" t="str">
        <x:v>New Solve</x:v>
      </x:c>
    </x:row>
    <x:row r="24">
      <x:c r="A24" s="15" t="n">
        <x:v>23</x:v>
      </x:c>
      <x:c r="B24" s="39"/>
      <x:c r="C24" s="15" t="str">
        <x:v>Already solved - revise</x:v>
      </x:c>
      <x:c r="D24" s="15" t="str">
        <x:v>Arrays &amp; Hashing</x:v>
      </x:c>
      <x:c r="E24" s="15" t="str">
        <x:v>Medium</x:v>
      </x:c>
      <x:c r="F24" s="15" t="n">
        <x:v>73</x:v>
      </x:c>
      <x:c r="G24" s="15" t="str">
        <x:v>Set Matrix Zeroes</x:v>
      </x:c>
      <x:c r="H24" s="15" t="str">
        <x:v>https://leetcode.com/problems/set-matrix-zeroes/</x:v>
      </x:c>
      <x:c r="I24" s="15" t="str">
        <x:v>Done</x:v>
      </x:c>
      <x:c r="J24" s="39"/>
      <x:c r="K24" s="39"/>
      <x:c r="L24" s="39"/>
      <x:c r="M24" s="15" t="str"/>
      <x:c r="N24" s="15" t="str"/>
      <x:c r="O24" s="15" t="str"/>
      <x:c r="P24" s="15" t="str"/>
      <x:c r="Q24" s="15" t="str">
        <x:v>Revision / Confirmed</x:v>
      </x:c>
    </x:row>
    <x:row r="25">
      <x:c r="A25" s="15" t="n">
        <x:v>24</x:v>
      </x:c>
      <x:c r="B25" s="39"/>
      <x:c r="C25" s="15" t="str">
        <x:v>Already solved - revise</x:v>
      </x:c>
      <x:c r="D25" s="15" t="str">
        <x:v>Arrays &amp; Hashing</x:v>
      </x:c>
      <x:c r="E25" s="15" t="str">
        <x:v>Medium</x:v>
      </x:c>
      <x:c r="F25" s="15" t="n">
        <x:v>48</x:v>
      </x:c>
      <x:c r="G25" s="15" t="str">
        <x:v>Rotate Image</x:v>
      </x:c>
      <x:c r="H25" s="15" t="str">
        <x:v>https://leetcode.com/problems/rotate-image/</x:v>
      </x:c>
      <x:c r="I25" s="15" t="str">
        <x:v>Done</x:v>
      </x:c>
      <x:c r="J25" s="39"/>
      <x:c r="K25" s="39"/>
      <x:c r="L25" s="39"/>
      <x:c r="M25" s="15" t="str"/>
      <x:c r="N25" s="15" t="str"/>
      <x:c r="O25" s="15" t="str"/>
      <x:c r="P25" s="15" t="str"/>
      <x:c r="Q25" s="15" t="str">
        <x:v>Revision / Confirmed</x:v>
      </x:c>
    </x:row>
    <x:row r="26">
      <x:c r="A26" s="15" t="n">
        <x:v>25</x:v>
      </x:c>
      <x:c r="B26" s="39"/>
      <x:c r="C26" s="15" t="str">
        <x:v>Already solved - revise</x:v>
      </x:c>
      <x:c r="D26" s="15" t="str">
        <x:v>Arrays &amp; Hashing</x:v>
      </x:c>
      <x:c r="E26" s="15" t="str">
        <x:v>Medium</x:v>
      </x:c>
      <x:c r="F26" s="15" t="n">
        <x:v>54</x:v>
      </x:c>
      <x:c r="G26" s="15" t="str">
        <x:v>Spiral Matrix</x:v>
      </x:c>
      <x:c r="H26" s="15" t="str">
        <x:v>https://leetcode.com/problems/spiral-matrix/</x:v>
      </x:c>
      <x:c r="I26" s="15" t="str">
        <x:v>Done</x:v>
      </x:c>
      <x:c r="J26" s="39"/>
      <x:c r="K26" s="39"/>
      <x:c r="L26" s="39"/>
      <x:c r="M26" s="15" t="str"/>
      <x:c r="N26" s="15" t="str"/>
      <x:c r="O26" s="15" t="str"/>
      <x:c r="P26" s="15" t="str"/>
      <x:c r="Q26" s="15" t="str">
        <x:v>Revision / Confirmed</x:v>
      </x:c>
    </x:row>
    <x:row r="27">
      <x:c r="A27" s="15" t="n">
        <x:v>26</x:v>
      </x:c>
      <x:c r="B27" s="39" t="n">
        <x:v>46226</x:v>
      </x:c>
      <x:c r="C27" s="15" t="str">
        <x:v>Phase 1: 1/day</x:v>
      </x:c>
      <x:c r="D27" s="15" t="str">
        <x:v>Arrays &amp; Hashing</x:v>
      </x:c>
      <x:c r="E27" s="15" t="str">
        <x:v>Medium</x:v>
      </x:c>
      <x:c r="F27" s="15" t="n">
        <x:v>59</x:v>
      </x:c>
      <x:c r="G27" s="15" t="str">
        <x:v>Spiral Matrix II</x:v>
      </x:c>
      <x:c r="H27" s="15" t="str">
        <x:v>https://leetcode.com/problems/spiral-matrix-ii/</x:v>
      </x:c>
      <x:c r="I27" s="15" t="str">
        <x:v>Not Started</x:v>
      </x:c>
      <x:c r="J27" s="39"/>
      <x:c r="K27" s="39"/>
      <x:c r="L27" s="39"/>
      <x:c r="M27" s="15" t="str"/>
      <x:c r="N27" s="15" t="str"/>
      <x:c r="O27" s="15" t="str"/>
      <x:c r="P27" s="15" t="str"/>
      <x:c r="Q27" s="15" t="str">
        <x:v>New Solve</x:v>
      </x:c>
    </x:row>
    <x:row r="28">
      <x:c r="A28" s="15" t="n">
        <x:v>27</x:v>
      </x:c>
      <x:c r="B28" s="39" t="n">
        <x:v>46227</x:v>
      </x:c>
      <x:c r="C28" s="15" t="str">
        <x:v>Phase 1: 1/day</x:v>
      </x:c>
      <x:c r="D28" s="15" t="str">
        <x:v>Arrays &amp; Hashing</x:v>
      </x:c>
      <x:c r="E28" s="15" t="str">
        <x:v>Easy</x:v>
      </x:c>
      <x:c r="F28" s="15" t="n">
        <x:v>566</x:v>
      </x:c>
      <x:c r="G28" s="15" t="str">
        <x:v>Reshape the Matrix</x:v>
      </x:c>
      <x:c r="H28" s="15" t="str">
        <x:v>https://leetcode.com/problems/reshape-the-matrix/</x:v>
      </x:c>
      <x:c r="I28" s="15" t="str">
        <x:v>Not Started</x:v>
      </x:c>
      <x:c r="J28" s="39"/>
      <x:c r="K28" s="39"/>
      <x:c r="L28" s="39"/>
      <x:c r="M28" s="15" t="str"/>
      <x:c r="N28" s="15" t="str"/>
      <x:c r="O28" s="15" t="str"/>
      <x:c r="P28" s="15" t="str"/>
      <x:c r="Q28" s="15" t="str">
        <x:v>New Solve</x:v>
      </x:c>
    </x:row>
    <x:row r="29">
      <x:c r="A29" s="15" t="n">
        <x:v>28</x:v>
      </x:c>
      <x:c r="B29" s="39" t="n">
        <x:v>46228</x:v>
      </x:c>
      <x:c r="C29" s="15" t="str">
        <x:v>Phase 1: 1/day</x:v>
      </x:c>
      <x:c r="D29" s="15" t="str">
        <x:v>Arrays &amp; Hashing</x:v>
      </x:c>
      <x:c r="E29" s="15" t="str">
        <x:v>Easy</x:v>
      </x:c>
      <x:c r="F29" s="15" t="n">
        <x:v>867</x:v>
      </x:c>
      <x:c r="G29" s="15" t="str">
        <x:v>Transpose Matrix</x:v>
      </x:c>
      <x:c r="H29" s="15" t="str">
        <x:v>https://leetcode.com/problems/transpose-matrix/</x:v>
      </x:c>
      <x:c r="I29" s="15" t="str">
        <x:v>Not Started</x:v>
      </x:c>
      <x:c r="J29" s="39"/>
      <x:c r="K29" s="39"/>
      <x:c r="L29" s="39"/>
      <x:c r="M29" s="15" t="str"/>
      <x:c r="N29" s="15" t="str"/>
      <x:c r="O29" s="15" t="str"/>
      <x:c r="P29" s="15" t="str"/>
      <x:c r="Q29" s="15" t="str">
        <x:v>New Solve</x:v>
      </x:c>
    </x:row>
    <x:row r="30">
      <x:c r="A30" s="15" t="n">
        <x:v>29</x:v>
      </x:c>
      <x:c r="B30" s="39" t="n">
        <x:v>46229</x:v>
      </x:c>
      <x:c r="C30" s="15" t="str">
        <x:v>Phase 1: 1/day</x:v>
      </x:c>
      <x:c r="D30" s="15" t="str">
        <x:v>Arrays &amp; Hashing</x:v>
      </x:c>
      <x:c r="E30" s="15" t="str">
        <x:v>Easy</x:v>
      </x:c>
      <x:c r="F30" s="15" t="n">
        <x:v>832</x:v>
      </x:c>
      <x:c r="G30" s="15" t="str">
        <x:v>Flipping an Image</x:v>
      </x:c>
      <x:c r="H30" s="15" t="str">
        <x:v>https://leetcode.com/problems/flipping-an-image/</x:v>
      </x:c>
      <x:c r="I30" s="15" t="str">
        <x:v>Not Started</x:v>
      </x:c>
      <x:c r="J30" s="39"/>
      <x:c r="K30" s="39"/>
      <x:c r="L30" s="39"/>
      <x:c r="M30" s="15" t="str"/>
      <x:c r="N30" s="15" t="str"/>
      <x:c r="O30" s="15" t="str"/>
      <x:c r="P30" s="15" t="str"/>
      <x:c r="Q30" s="15" t="str">
        <x:v>New Solve</x:v>
      </x:c>
    </x:row>
    <x:row r="31">
      <x:c r="A31" s="15" t="n">
        <x:v>30</x:v>
      </x:c>
      <x:c r="B31" s="39" t="n">
        <x:v>46230</x:v>
      </x:c>
      <x:c r="C31" s="15" t="str">
        <x:v>Phase 1: 1/day</x:v>
      </x:c>
      <x:c r="D31" s="15" t="str">
        <x:v>Arrays &amp; Hashing</x:v>
      </x:c>
      <x:c r="E31" s="15" t="str">
        <x:v>Medium</x:v>
      </x:c>
      <x:c r="F31" s="15" t="n">
        <x:v>289</x:v>
      </x:c>
      <x:c r="G31" s="15" t="str">
        <x:v>Game of Life</x:v>
      </x:c>
      <x:c r="H31" s="15" t="str">
        <x:v>https://leetcode.com/problems/game-of-life/</x:v>
      </x:c>
      <x:c r="I31" s="15" t="str">
        <x:v>Not Started</x:v>
      </x:c>
      <x:c r="J31" s="39"/>
      <x:c r="K31" s="39"/>
      <x:c r="L31" s="39"/>
      <x:c r="M31" s="15" t="str"/>
      <x:c r="N31" s="15" t="str"/>
      <x:c r="O31" s="15" t="str"/>
      <x:c r="P31" s="15" t="str"/>
      <x:c r="Q31" s="15" t="str">
        <x:v>New Solve</x:v>
      </x:c>
    </x:row>
    <x:row r="32">
      <x:c r="A32" s="15" t="n">
        <x:v>31</x:v>
      </x:c>
      <x:c r="B32" s="39" t="n">
        <x:v>46231</x:v>
      </x:c>
      <x:c r="C32" s="15" t="str">
        <x:v>Phase 1: 1/day</x:v>
      </x:c>
      <x:c r="D32" s="15" t="str">
        <x:v>Arrays &amp; Hashing</x:v>
      </x:c>
      <x:c r="E32" s="15" t="str">
        <x:v>Easy</x:v>
      </x:c>
      <x:c r="F32" s="15" t="n">
        <x:v>118</x:v>
      </x:c>
      <x:c r="G32" s="15" t="str">
        <x:v>Pascal's Triangle</x:v>
      </x:c>
      <x:c r="H32" s="15" t="str">
        <x:v>https://leetcode.com/problems/pascals-triangle/</x:v>
      </x:c>
      <x:c r="I32" s="15" t="str">
        <x:v>Not Started</x:v>
      </x:c>
      <x:c r="J32" s="39"/>
      <x:c r="K32" s="39"/>
      <x:c r="L32" s="39"/>
      <x:c r="M32" s="15" t="str"/>
      <x:c r="N32" s="15" t="str"/>
      <x:c r="O32" s="15" t="str"/>
      <x:c r="P32" s="15" t="str"/>
      <x:c r="Q32" s="15" t="str">
        <x:v>New Solve</x:v>
      </x:c>
    </x:row>
    <x:row r="33">
      <x:c r="A33" s="15" t="n">
        <x:v>32</x:v>
      </x:c>
      <x:c r="B33" s="39" t="n">
        <x:v>46232</x:v>
      </x:c>
      <x:c r="C33" s="15" t="str">
        <x:v>Phase 1: 1/day</x:v>
      </x:c>
      <x:c r="D33" s="15" t="str">
        <x:v>Arrays &amp; Hashing</x:v>
      </x:c>
      <x:c r="E33" s="15" t="str">
        <x:v>Easy</x:v>
      </x:c>
      <x:c r="F33" s="15" t="n">
        <x:v>119</x:v>
      </x:c>
      <x:c r="G33" s="15" t="str">
        <x:v>Pascal's Triangle II</x:v>
      </x:c>
      <x:c r="H33" s="15" t="str">
        <x:v>https://leetcode.com/problems/pascals-triangle-ii/</x:v>
      </x:c>
      <x:c r="I33" s="15" t="str">
        <x:v>Not Started</x:v>
      </x:c>
      <x:c r="J33" s="39"/>
      <x:c r="K33" s="39"/>
      <x:c r="L33" s="39"/>
      <x:c r="M33" s="15" t="str"/>
      <x:c r="N33" s="15" t="str"/>
      <x:c r="O33" s="15" t="str"/>
      <x:c r="P33" s="15" t="str"/>
      <x:c r="Q33" s="15" t="str">
        <x:v>New Solve</x:v>
      </x:c>
    </x:row>
    <x:row r="34">
      <x:c r="A34" s="15" t="n">
        <x:v>33</x:v>
      </x:c>
      <x:c r="B34" s="39" t="n">
        <x:v>46233</x:v>
      </x:c>
      <x:c r="C34" s="15" t="str">
        <x:v>Phase 1: 1/day</x:v>
      </x:c>
      <x:c r="D34" s="15" t="str">
        <x:v>Arrays &amp; Hashing</x:v>
      </x:c>
      <x:c r="E34" s="15" t="str">
        <x:v>Easy</x:v>
      </x:c>
      <x:c r="F34" s="15" t="n">
        <x:v>448</x:v>
      </x:c>
      <x:c r="G34" s="15" t="str">
        <x:v>Find All Numbers Disappeared in an Array</x:v>
      </x:c>
      <x:c r="H34" s="15" t="str">
        <x:v>https://leetcode.com/problems/find-all-numbers-disappeared-in-an-array/</x:v>
      </x:c>
      <x:c r="I34" s="15" t="str">
        <x:v>Not Started</x:v>
      </x:c>
      <x:c r="J34" s="39"/>
      <x:c r="K34" s="39"/>
      <x:c r="L34" s="39"/>
      <x:c r="M34" s="15" t="str"/>
      <x:c r="N34" s="15" t="str"/>
      <x:c r="O34" s="15" t="str"/>
      <x:c r="P34" s="15" t="str"/>
      <x:c r="Q34" s="15" t="str">
        <x:v>New Solve</x:v>
      </x:c>
    </x:row>
    <x:row r="35">
      <x:c r="A35" s="15" t="n">
        <x:v>34</x:v>
      </x:c>
      <x:c r="B35" s="39" t="n">
        <x:v>46234</x:v>
      </x:c>
      <x:c r="C35" s="15" t="str">
        <x:v>Phase 1: 1/day</x:v>
      </x:c>
      <x:c r="D35" s="15" t="str">
        <x:v>Arrays &amp; Hashing</x:v>
      </x:c>
      <x:c r="E35" s="15" t="str">
        <x:v>Medium</x:v>
      </x:c>
      <x:c r="F35" s="15" t="n">
        <x:v>442</x:v>
      </x:c>
      <x:c r="G35" s="15" t="str">
        <x:v>Find All Duplicates in an Array</x:v>
      </x:c>
      <x:c r="H35" s="15" t="str">
        <x:v>https://leetcode.com/problems/find-all-duplicates-in-an-array/</x:v>
      </x:c>
      <x:c r="I35" s="15" t="str">
        <x:v>Not Started</x:v>
      </x:c>
      <x:c r="J35" s="39"/>
      <x:c r="K35" s="39"/>
      <x:c r="L35" s="39"/>
      <x:c r="M35" s="15" t="str"/>
      <x:c r="N35" s="15" t="str"/>
      <x:c r="O35" s="15" t="str"/>
      <x:c r="P35" s="15" t="str"/>
      <x:c r="Q35" s="15" t="str">
        <x:v>New Solve</x:v>
      </x:c>
    </x:row>
    <x:row r="36">
      <x:c r="A36" s="15" t="n">
        <x:v>35</x:v>
      </x:c>
      <x:c r="B36" s="39" t="n">
        <x:v>46235</x:v>
      </x:c>
      <x:c r="C36" s="15" t="str">
        <x:v>Phase 1: 1/day</x:v>
      </x:c>
      <x:c r="D36" s="15" t="str">
        <x:v>Arrays &amp; Hashing</x:v>
      </x:c>
      <x:c r="E36" s="15" t="str">
        <x:v>Easy</x:v>
      </x:c>
      <x:c r="F36" s="15" t="n">
        <x:v>645</x:v>
      </x:c>
      <x:c r="G36" s="15" t="str">
        <x:v>Set Mismatch</x:v>
      </x:c>
      <x:c r="H36" s="15" t="str">
        <x:v>https://leetcode.com/problems/set-mismatch/</x:v>
      </x:c>
      <x:c r="I36" s="15" t="str">
        <x:v>Not Started</x:v>
      </x:c>
      <x:c r="J36" s="39"/>
      <x:c r="K36" s="39"/>
      <x:c r="L36" s="39"/>
      <x:c r="M36" s="15" t="str"/>
      <x:c r="N36" s="15" t="str"/>
      <x:c r="O36" s="15" t="str"/>
      <x:c r="P36" s="15" t="str"/>
      <x:c r="Q36" s="15" t="str">
        <x:v>New Solve</x:v>
      </x:c>
    </x:row>
    <x:row r="37">
      <x:c r="A37" s="15" t="n">
        <x:v>36</x:v>
      </x:c>
      <x:c r="B37" s="39" t="n">
        <x:v>46236</x:v>
      </x:c>
      <x:c r="C37" s="15" t="str">
        <x:v>Phase 1: 1/day</x:v>
      </x:c>
      <x:c r="D37" s="15" t="str">
        <x:v>Arrays &amp; Hashing</x:v>
      </x:c>
      <x:c r="E37" s="15" t="str">
        <x:v>Medium</x:v>
      </x:c>
      <x:c r="F37" s="15" t="n">
        <x:v>287</x:v>
      </x:c>
      <x:c r="G37" s="15" t="str">
        <x:v>Find the Duplicate Number</x:v>
      </x:c>
      <x:c r="H37" s="15" t="str">
        <x:v>https://leetcode.com/problems/find-the-duplicate-number/</x:v>
      </x:c>
      <x:c r="I37" s="15" t="str">
        <x:v>Not Started</x:v>
      </x:c>
      <x:c r="J37" s="39"/>
      <x:c r="K37" s="39"/>
      <x:c r="L37" s="39"/>
      <x:c r="M37" s="15" t="str"/>
      <x:c r="N37" s="15" t="str"/>
      <x:c r="O37" s="15" t="str"/>
      <x:c r="P37" s="15" t="str"/>
      <x:c r="Q37" s="15" t="str">
        <x:v>New Solve</x:v>
      </x:c>
    </x:row>
    <x:row r="38">
      <x:c r="A38" s="15" t="n">
        <x:v>37</x:v>
      </x:c>
      <x:c r="B38" s="39"/>
      <x:c r="C38" s="15" t="str">
        <x:v>Already solved - revise</x:v>
      </x:c>
      <x:c r="D38" s="15" t="str">
        <x:v>Arrays &amp; Hashing</x:v>
      </x:c>
      <x:c r="E38" s="15" t="str">
        <x:v>Easy</x:v>
      </x:c>
      <x:c r="F38" s="15" t="n">
        <x:v>268</x:v>
      </x:c>
      <x:c r="G38" s="15" t="str">
        <x:v>Missing Number</x:v>
      </x:c>
      <x:c r="H38" s="15" t="str">
        <x:v>https://leetcode.com/problems/missing-number/</x:v>
      </x:c>
      <x:c r="I38" s="15" t="str">
        <x:v>Done</x:v>
      </x:c>
      <x:c r="J38" s="39"/>
      <x:c r="K38" s="39"/>
      <x:c r="L38" s="39"/>
      <x:c r="M38" s="15" t="str"/>
      <x:c r="N38" s="15" t="str"/>
      <x:c r="O38" s="15" t="str"/>
      <x:c r="P38" s="15" t="str"/>
      <x:c r="Q38" s="15" t="str">
        <x:v>Revision / Confirmed</x:v>
      </x:c>
    </x:row>
    <x:row r="39">
      <x:c r="A39" s="15" t="n">
        <x:v>38</x:v>
      </x:c>
      <x:c r="B39" s="39"/>
      <x:c r="C39" s="15" t="str">
        <x:v>Already solved - revise</x:v>
      </x:c>
      <x:c r="D39" s="15" t="str">
        <x:v>Arrays &amp; Hashing</x:v>
      </x:c>
      <x:c r="E39" s="15" t="str">
        <x:v>Easy</x:v>
      </x:c>
      <x:c r="F39" s="15" t="n">
        <x:v>136</x:v>
      </x:c>
      <x:c r="G39" s="15" t="str">
        <x:v>Single Number</x:v>
      </x:c>
      <x:c r="H39" s="15" t="str">
        <x:v>https://leetcode.com/problems/single-number/</x:v>
      </x:c>
      <x:c r="I39" s="15" t="str">
        <x:v>Done</x:v>
      </x:c>
      <x:c r="J39" s="39"/>
      <x:c r="K39" s="39"/>
      <x:c r="L39" s="39"/>
      <x:c r="M39" s="15" t="str"/>
      <x:c r="N39" s="15" t="str"/>
      <x:c r="O39" s="15" t="str"/>
      <x:c r="P39" s="15" t="str"/>
      <x:c r="Q39" s="15" t="str">
        <x:v>Revision / Confirmed</x:v>
      </x:c>
    </x:row>
    <x:row r="40">
      <x:c r="A40" s="15" t="n">
        <x:v>39</x:v>
      </x:c>
      <x:c r="B40" s="39" t="n">
        <x:v>46237</x:v>
      </x:c>
      <x:c r="C40" s="15" t="str">
        <x:v>Phase 1: 1/day</x:v>
      </x:c>
      <x:c r="D40" s="15" t="str">
        <x:v>Arrays &amp; Hashing</x:v>
      </x:c>
      <x:c r="E40" s="15" t="str">
        <x:v>Medium</x:v>
      </x:c>
      <x:c r="F40" s="15" t="n">
        <x:v>137</x:v>
      </x:c>
      <x:c r="G40" s="15" t="str">
        <x:v>Single Number II</x:v>
      </x:c>
      <x:c r="H40" s="15" t="str">
        <x:v>https://leetcode.com/problems/single-number-ii/</x:v>
      </x:c>
      <x:c r="I40" s="15" t="str">
        <x:v>Not Started</x:v>
      </x:c>
      <x:c r="J40" s="39"/>
      <x:c r="K40" s="39"/>
      <x:c r="L40" s="39"/>
      <x:c r="M40" s="15" t="str"/>
      <x:c r="N40" s="15" t="str"/>
      <x:c r="O40" s="15" t="str"/>
      <x:c r="P40" s="15" t="str"/>
      <x:c r="Q40" s="15" t="str">
        <x:v>New Solve</x:v>
      </x:c>
    </x:row>
    <x:row r="41">
      <x:c r="A41" s="15" t="n">
        <x:v>40</x:v>
      </x:c>
      <x:c r="B41" s="39" t="n">
        <x:v>46238</x:v>
      </x:c>
      <x:c r="C41" s="15" t="str">
        <x:v>Phase 1: 1/day</x:v>
      </x:c>
      <x:c r="D41" s="15" t="str">
        <x:v>Arrays &amp; Hashing</x:v>
      </x:c>
      <x:c r="E41" s="15" t="str">
        <x:v>Medium</x:v>
      </x:c>
      <x:c r="F41" s="15" t="n">
        <x:v>260</x:v>
      </x:c>
      <x:c r="G41" s="15" t="str">
        <x:v>Single Number III</x:v>
      </x:c>
      <x:c r="H41" s="15" t="str">
        <x:v>https://leetcode.com/problems/single-number-iii/</x:v>
      </x:c>
      <x:c r="I41" s="15" t="str">
        <x:v>Not Started</x:v>
      </x:c>
      <x:c r="J41" s="39"/>
      <x:c r="K41" s="39"/>
      <x:c r="L41" s="39"/>
      <x:c r="M41" s="15" t="str"/>
      <x:c r="N41" s="15" t="str"/>
      <x:c r="O41" s="15" t="str"/>
      <x:c r="P41" s="15" t="str"/>
      <x:c r="Q41" s="15" t="str">
        <x:v>New Solve</x:v>
      </x:c>
    </x:row>
    <x:row r="42">
      <x:c r="A42" s="15" t="n">
        <x:v>41</x:v>
      </x:c>
      <x:c r="B42" s="39"/>
      <x:c r="C42" s="15" t="str">
        <x:v>Already solved - revise</x:v>
      </x:c>
      <x:c r="D42" s="15" t="str">
        <x:v>Arrays &amp; Hashing</x:v>
      </x:c>
      <x:c r="E42" s="15" t="str">
        <x:v>Easy</x:v>
      </x:c>
      <x:c r="F42" s="15" t="n">
        <x:v>169</x:v>
      </x:c>
      <x:c r="G42" s="15" t="str">
        <x:v>Majority Element</x:v>
      </x:c>
      <x:c r="H42" s="15" t="str">
        <x:v>https://leetcode.com/problems/majority-element/</x:v>
      </x:c>
      <x:c r="I42" s="15" t="str">
        <x:v>Done</x:v>
      </x:c>
      <x:c r="J42" s="39"/>
      <x:c r="K42" s="39"/>
      <x:c r="L42" s="39"/>
      <x:c r="M42" s="15" t="str"/>
      <x:c r="N42" s="15" t="str"/>
      <x:c r="O42" s="15" t="str"/>
      <x:c r="P42" s="15" t="str"/>
      <x:c r="Q42" s="15" t="str">
        <x:v>Revision / Confirmed</x:v>
      </x:c>
    </x:row>
    <x:row r="43">
      <x:c r="A43" s="15" t="n">
        <x:v>42</x:v>
      </x:c>
      <x:c r="B43" s="39" t="n">
        <x:v>46239</x:v>
      </x:c>
      <x:c r="C43" s="15" t="str">
        <x:v>Phase 1: 1/day</x:v>
      </x:c>
      <x:c r="D43" s="15" t="str">
        <x:v>Arrays &amp; Hashing</x:v>
      </x:c>
      <x:c r="E43" s="15" t="str">
        <x:v>Medium</x:v>
      </x:c>
      <x:c r="F43" s="15" t="n">
        <x:v>229</x:v>
      </x:c>
      <x:c r="G43" s="15" t="str">
        <x:v>Majority Element II</x:v>
      </x:c>
      <x:c r="H43" s="15" t="str">
        <x:v>https://leetcode.com/problems/majority-element-ii/</x:v>
      </x:c>
      <x:c r="I43" s="15" t="str">
        <x:v>Not Started</x:v>
      </x:c>
      <x:c r="J43" s="39"/>
      <x:c r="K43" s="39"/>
      <x:c r="L43" s="39"/>
      <x:c r="M43" s="15" t="str"/>
      <x:c r="N43" s="15" t="str"/>
      <x:c r="O43" s="15" t="str"/>
      <x:c r="P43" s="15" t="str"/>
      <x:c r="Q43" s="15" t="str">
        <x:v>New Solve</x:v>
      </x:c>
    </x:row>
    <x:row r="44">
      <x:c r="A44" s="15" t="n">
        <x:v>43</x:v>
      </x:c>
      <x:c r="B44" s="39"/>
      <x:c r="C44" s="15" t="str">
        <x:v>Already solved - revise</x:v>
      </x:c>
      <x:c r="D44" s="15" t="str">
        <x:v>Arrays &amp; Hashing</x:v>
      </x:c>
      <x:c r="E44" s="15" t="str">
        <x:v>Easy</x:v>
      </x:c>
      <x:c r="F44" s="15" t="n">
        <x:v>349</x:v>
      </x:c>
      <x:c r="G44" s="15" t="str">
        <x:v>Intersection of Two Arrays</x:v>
      </x:c>
      <x:c r="H44" s="15" t="str">
        <x:v>https://leetcode.com/problems/intersection-of-two-arrays/</x:v>
      </x:c>
      <x:c r="I44" s="15" t="str">
        <x:v>Done</x:v>
      </x:c>
      <x:c r="J44" s="39"/>
      <x:c r="K44" s="39"/>
      <x:c r="L44" s="39"/>
      <x:c r="M44" s="15" t="str"/>
      <x:c r="N44" s="15" t="str"/>
      <x:c r="O44" s="15" t="str"/>
      <x:c r="P44" s="15" t="str"/>
      <x:c r="Q44" s="15" t="str">
        <x:v>Revision / Confirmed</x:v>
      </x:c>
    </x:row>
    <x:row r="45">
      <x:c r="A45" s="15" t="n">
        <x:v>44</x:v>
      </x:c>
      <x:c r="B45" s="39" t="n">
        <x:v>46240</x:v>
      </x:c>
      <x:c r="C45" s="15" t="str">
        <x:v>Phase 1: 1/day</x:v>
      </x:c>
      <x:c r="D45" s="15" t="str">
        <x:v>Arrays &amp; Hashing</x:v>
      </x:c>
      <x:c r="E45" s="15" t="str">
        <x:v>Easy</x:v>
      </x:c>
      <x:c r="F45" s="15" t="n">
        <x:v>350</x:v>
      </x:c>
      <x:c r="G45" s="15" t="str">
        <x:v>Intersection of Two Arrays II</x:v>
      </x:c>
      <x:c r="H45" s="15" t="str">
        <x:v>https://leetcode.com/problems/intersection-of-two-arrays-ii/</x:v>
      </x:c>
      <x:c r="I45" s="15" t="str">
        <x:v>Not Started</x:v>
      </x:c>
      <x:c r="J45" s="39"/>
      <x:c r="K45" s="39"/>
      <x:c r="L45" s="39"/>
      <x:c r="M45" s="15" t="str"/>
      <x:c r="N45" s="15" t="str"/>
      <x:c r="O45" s="15" t="str"/>
      <x:c r="P45" s="15" t="str"/>
      <x:c r="Q45" s="15" t="str">
        <x:v>New Solve</x:v>
      </x:c>
    </x:row>
    <x:row r="46">
      <x:c r="A46" s="15" t="n">
        <x:v>45</x:v>
      </x:c>
      <x:c r="B46" s="39" t="n">
        <x:v>46241</x:v>
      </x:c>
      <x:c r="C46" s="15" t="str">
        <x:v>Phase 1: 1/day</x:v>
      </x:c>
      <x:c r="D46" s="15" t="str">
        <x:v>Arrays &amp; Hashing</x:v>
      </x:c>
      <x:c r="E46" s="15" t="str">
        <x:v>Easy</x:v>
      </x:c>
      <x:c r="F46" s="15" t="n">
        <x:v>66</x:v>
      </x:c>
      <x:c r="G46" s="15" t="str">
        <x:v>Plus One</x:v>
      </x:c>
      <x:c r="H46" s="15" t="str">
        <x:v>https://leetcode.com/problems/plus-one/</x:v>
      </x:c>
      <x:c r="I46" s="15" t="str">
        <x:v>Not Started</x:v>
      </x:c>
      <x:c r="J46" s="39"/>
      <x:c r="K46" s="39"/>
      <x:c r="L46" s="39"/>
      <x:c r="M46" s="15" t="str"/>
      <x:c r="N46" s="15" t="str"/>
      <x:c r="O46" s="15" t="str"/>
      <x:c r="P46" s="15" t="str"/>
      <x:c r="Q46" s="15" t="str">
        <x:v>New Solve</x:v>
      </x:c>
    </x:row>
    <x:row r="47">
      <x:c r="A47" s="15" t="n">
        <x:v>46</x:v>
      </x:c>
      <x:c r="B47" s="39" t="n">
        <x:v>46242</x:v>
      </x:c>
      <x:c r="C47" s="15" t="str">
        <x:v>Phase 1: 1/day</x:v>
      </x:c>
      <x:c r="D47" s="15" t="str">
        <x:v>Arrays &amp; Hashing</x:v>
      </x:c>
      <x:c r="E47" s="15" t="str">
        <x:v>Easy</x:v>
      </x:c>
      <x:c r="F47" s="15" t="n">
        <x:v>27</x:v>
      </x:c>
      <x:c r="G47" s="15" t="str">
        <x:v>Remove Element</x:v>
      </x:c>
      <x:c r="H47" s="15" t="str">
        <x:v>https://leetcode.com/problems/remove-element/</x:v>
      </x:c>
      <x:c r="I47" s="15" t="str">
        <x:v>Not Started</x:v>
      </x:c>
      <x:c r="J47" s="39"/>
      <x:c r="K47" s="39"/>
      <x:c r="L47" s="39"/>
      <x:c r="M47" s="15" t="str"/>
      <x:c r="N47" s="15" t="str"/>
      <x:c r="O47" s="15" t="str"/>
      <x:c r="P47" s="15" t="str"/>
      <x:c r="Q47" s="15" t="str">
        <x:v>New Solve</x:v>
      </x:c>
    </x:row>
    <x:row r="48">
      <x:c r="A48" s="15" t="n">
        <x:v>47</x:v>
      </x:c>
      <x:c r="B48" s="39"/>
      <x:c r="C48" s="15" t="str">
        <x:v>Already solved - revise</x:v>
      </x:c>
      <x:c r="D48" s="15" t="str">
        <x:v>Arrays &amp; Hashing</x:v>
      </x:c>
      <x:c r="E48" s="15" t="str">
        <x:v>Easy</x:v>
      </x:c>
      <x:c r="F48" s="15" t="n">
        <x:v>26</x:v>
      </x:c>
      <x:c r="G48" s="15" t="str">
        <x:v>Remove Duplicates from Sorted Array</x:v>
      </x:c>
      <x:c r="H48" s="15" t="str">
        <x:v>https://leetcode.com/problems/remove-duplicates-from-sorted-array/</x:v>
      </x:c>
      <x:c r="I48" s="15" t="str">
        <x:v>Done</x:v>
      </x:c>
      <x:c r="J48" s="39"/>
      <x:c r="K48" s="39"/>
      <x:c r="L48" s="39"/>
      <x:c r="M48" s="15" t="str"/>
      <x:c r="N48" s="15" t="str"/>
      <x:c r="O48" s="15" t="str"/>
      <x:c r="P48" s="15" t="str"/>
      <x:c r="Q48" s="15" t="str">
        <x:v>Revision / Confirmed</x:v>
      </x:c>
    </x:row>
    <x:row r="49">
      <x:c r="A49" s="15" t="n">
        <x:v>48</x:v>
      </x:c>
      <x:c r="B49" s="39" t="n">
        <x:v>46243</x:v>
      </x:c>
      <x:c r="C49" s="15" t="str">
        <x:v>Phase 1: 1/day</x:v>
      </x:c>
      <x:c r="D49" s="15" t="str">
        <x:v>Arrays &amp; Hashing</x:v>
      </x:c>
      <x:c r="E49" s="15" t="str">
        <x:v>Medium</x:v>
      </x:c>
      <x:c r="F49" s="15" t="n">
        <x:v>80</x:v>
      </x:c>
      <x:c r="G49" s="15" t="str">
        <x:v>Remove Duplicates from Sorted Array II</x:v>
      </x:c>
      <x:c r="H49" s="15" t="str">
        <x:v>https://leetcode.com/problems/remove-duplicates-from-sorted-array-ii/</x:v>
      </x:c>
      <x:c r="I49" s="15" t="str">
        <x:v>Not Started</x:v>
      </x:c>
      <x:c r="J49" s="39"/>
      <x:c r="K49" s="39"/>
      <x:c r="L49" s="39"/>
      <x:c r="M49" s="15" t="str"/>
      <x:c r="N49" s="15" t="str"/>
      <x:c r="O49" s="15" t="str"/>
      <x:c r="P49" s="15" t="str"/>
      <x:c r="Q49" s="15" t="str">
        <x:v>New Solve</x:v>
      </x:c>
    </x:row>
    <x:row r="50">
      <x:c r="A50" s="15" t="n">
        <x:v>49</x:v>
      </x:c>
      <x:c r="B50" s="39"/>
      <x:c r="C50" s="15" t="str">
        <x:v>Already solved - revise</x:v>
      </x:c>
      <x:c r="D50" s="15" t="str">
        <x:v>Arrays &amp; Hashing</x:v>
      </x:c>
      <x:c r="E50" s="15" t="str">
        <x:v>Easy</x:v>
      </x:c>
      <x:c r="F50" s="15" t="n">
        <x:v>88</x:v>
      </x:c>
      <x:c r="G50" s="15" t="str">
        <x:v>Merge Sorted Array</x:v>
      </x:c>
      <x:c r="H50" s="15" t="str">
        <x:v>https://leetcode.com/problems/merge-sorted-array/</x:v>
      </x:c>
      <x:c r="I50" s="15" t="str">
        <x:v>Done</x:v>
      </x:c>
      <x:c r="J50" s="39"/>
      <x:c r="K50" s="39"/>
      <x:c r="L50" s="39"/>
      <x:c r="M50" s="15" t="str"/>
      <x:c r="N50" s="15" t="str"/>
      <x:c r="O50" s="15" t="str"/>
      <x:c r="P50" s="15" t="str"/>
      <x:c r="Q50" s="15" t="str">
        <x:v>Revision / Confirmed</x:v>
      </x:c>
    </x:row>
    <x:row r="51">
      <x:c r="A51" s="15" t="n">
        <x:v>50</x:v>
      </x:c>
      <x:c r="B51" s="39" t="n">
        <x:v>46244</x:v>
      </x:c>
      <x:c r="C51" s="15" t="str">
        <x:v>Phase 1: 1/day</x:v>
      </x:c>
      <x:c r="D51" s="15" t="str">
        <x:v>Arrays &amp; Hashing</x:v>
      </x:c>
      <x:c r="E51" s="15" t="str">
        <x:v>Medium</x:v>
      </x:c>
      <x:c r="F51" s="15" t="n">
        <x:v>189</x:v>
      </x:c>
      <x:c r="G51" s="15" t="str">
        <x:v>Rotate Array</x:v>
      </x:c>
      <x:c r="H51" s="15" t="str">
        <x:v>https://leetcode.com/problems/rotate-array/</x:v>
      </x:c>
      <x:c r="I51" s="15" t="str">
        <x:v>Not Started</x:v>
      </x:c>
      <x:c r="J51" s="39"/>
      <x:c r="K51" s="39"/>
      <x:c r="L51" s="39"/>
      <x:c r="M51" s="15" t="str"/>
      <x:c r="N51" s="15" t="str"/>
      <x:c r="O51" s="15" t="str"/>
      <x:c r="P51" s="15" t="str"/>
      <x:c r="Q51" s="15" t="str">
        <x:v>New Solve</x:v>
      </x:c>
    </x:row>
    <x:row r="52">
      <x:c r="A52" s="15" t="n">
        <x:v>51</x:v>
      </x:c>
      <x:c r="B52" s="39"/>
      <x:c r="C52" s="15" t="str">
        <x:v>Already solved - revise</x:v>
      </x:c>
      <x:c r="D52" s="15" t="str">
        <x:v>Arrays &amp; Hashing</x:v>
      </x:c>
      <x:c r="E52" s="15" t="str">
        <x:v>Easy</x:v>
      </x:c>
      <x:c r="F52" s="15" t="n">
        <x:v>283</x:v>
      </x:c>
      <x:c r="G52" s="15" t="str">
        <x:v>Move Zeroes</x:v>
      </x:c>
      <x:c r="H52" s="15" t="str">
        <x:v>https://leetcode.com/problems/move-zeroes/</x:v>
      </x:c>
      <x:c r="I52" s="15" t="str">
        <x:v>Done</x:v>
      </x:c>
      <x:c r="J52" s="39"/>
      <x:c r="K52" s="39"/>
      <x:c r="L52" s="39"/>
      <x:c r="M52" s="15" t="str"/>
      <x:c r="N52" s="15" t="str"/>
      <x:c r="O52" s="15" t="str"/>
      <x:c r="P52" s="15" t="str"/>
      <x:c r="Q52" s="15" t="str">
        <x:v>Revision / Confirmed</x:v>
      </x:c>
    </x:row>
    <x:row r="53">
      <x:c r="A53" s="15" t="n">
        <x:v>52</x:v>
      </x:c>
      <x:c r="B53" s="39"/>
      <x:c r="C53" s="15" t="str">
        <x:v>Already solved - revise</x:v>
      </x:c>
      <x:c r="D53" s="15" t="str">
        <x:v>Arrays &amp; Hashing</x:v>
      </x:c>
      <x:c r="E53" s="15" t="str">
        <x:v>Medium</x:v>
      </x:c>
      <x:c r="F53" s="15" t="n">
        <x:v>75</x:v>
      </x:c>
      <x:c r="G53" s="15" t="str">
        <x:v>Sort Colors</x:v>
      </x:c>
      <x:c r="H53" s="15" t="str">
        <x:v>https://leetcode.com/problems/sort-colors/</x:v>
      </x:c>
      <x:c r="I53" s="15" t="str">
        <x:v>Done</x:v>
      </x:c>
      <x:c r="J53" s="39"/>
      <x:c r="K53" s="39"/>
      <x:c r="L53" s="39"/>
      <x:c r="M53" s="15" t="str"/>
      <x:c r="N53" s="15" t="str"/>
      <x:c r="O53" s="15" t="str"/>
      <x:c r="P53" s="15" t="str"/>
      <x:c r="Q53" s="15" t="str">
        <x:v>Revision / Confirmed</x:v>
      </x:c>
    </x:row>
    <x:row r="54">
      <x:c r="A54" s="15" t="n">
        <x:v>53</x:v>
      </x:c>
      <x:c r="B54" s="39" t="n">
        <x:v>46245</x:v>
      </x:c>
      <x:c r="C54" s="15" t="str">
        <x:v>Phase 1: 1/day</x:v>
      </x:c>
      <x:c r="D54" s="15" t="str">
        <x:v>Arrays &amp; Hashing</x:v>
      </x:c>
      <x:c r="E54" s="15" t="str">
        <x:v>Easy</x:v>
      </x:c>
      <x:c r="F54" s="15" t="n">
        <x:v>414</x:v>
      </x:c>
      <x:c r="G54" s="15" t="str">
        <x:v>Third Maximum Number</x:v>
      </x:c>
      <x:c r="H54" s="15" t="str">
        <x:v>https://leetcode.com/problems/third-maximum-number/</x:v>
      </x:c>
      <x:c r="I54" s="15" t="str">
        <x:v>Not Started</x:v>
      </x:c>
      <x:c r="J54" s="39"/>
      <x:c r="K54" s="39"/>
      <x:c r="L54" s="39"/>
      <x:c r="M54" s="15" t="str"/>
      <x:c r="N54" s="15" t="str"/>
      <x:c r="O54" s="15" t="str"/>
      <x:c r="P54" s="15" t="str"/>
      <x:c r="Q54" s="15" t="str">
        <x:v>New Solve</x:v>
      </x:c>
    </x:row>
    <x:row r="55">
      <x:c r="A55" s="15" t="n">
        <x:v>54</x:v>
      </x:c>
      <x:c r="B55" s="39" t="n">
        <x:v>46246</x:v>
      </x:c>
      <x:c r="C55" s="15" t="str">
        <x:v>Phase 1: 1/day</x:v>
      </x:c>
      <x:c r="D55" s="15" t="str">
        <x:v>Arrays &amp; Hashing</x:v>
      </x:c>
      <x:c r="E55" s="15" t="str">
        <x:v>Easy</x:v>
      </x:c>
      <x:c r="F55" s="15" t="n">
        <x:v>485</x:v>
      </x:c>
      <x:c r="G55" s="15" t="str">
        <x:v>Max Consecutive Ones</x:v>
      </x:c>
      <x:c r="H55" s="15" t="str">
        <x:v>https://leetcode.com/problems/max-consecutive-ones/</x:v>
      </x:c>
      <x:c r="I55" s="15" t="str">
        <x:v>Not Started</x:v>
      </x:c>
      <x:c r="J55" s="39"/>
      <x:c r="K55" s="39"/>
      <x:c r="L55" s="39"/>
      <x:c r="M55" s="15" t="str"/>
      <x:c r="N55" s="15" t="str"/>
      <x:c r="O55" s="15" t="str"/>
      <x:c r="P55" s="15" t="str"/>
      <x:c r="Q55" s="15" t="str">
        <x:v>New Solve</x:v>
      </x:c>
    </x:row>
    <x:row r="56">
      <x:c r="A56" s="15" t="n">
        <x:v>55</x:v>
      </x:c>
      <x:c r="B56" s="39" t="n">
        <x:v>46247</x:v>
      </x:c>
      <x:c r="C56" s="15" t="str">
        <x:v>Phase 1: 1/day</x:v>
      </x:c>
      <x:c r="D56" s="15" t="str">
        <x:v>Arrays &amp; Hashing</x:v>
      </x:c>
      <x:c r="E56" s="15" t="str">
        <x:v>Easy</x:v>
      </x:c>
      <x:c r="F56" s="15" t="n">
        <x:v>977</x:v>
      </x:c>
      <x:c r="G56" s="15" t="str">
        <x:v>Squares of a Sorted Array</x:v>
      </x:c>
      <x:c r="H56" s="15" t="str">
        <x:v>https://leetcode.com/problems/squares-of-a-sorted-array/</x:v>
      </x:c>
      <x:c r="I56" s="15" t="str">
        <x:v>Not Started</x:v>
      </x:c>
      <x:c r="J56" s="39"/>
      <x:c r="K56" s="39"/>
      <x:c r="L56" s="39"/>
      <x:c r="M56" s="15" t="str"/>
      <x:c r="N56" s="15" t="str"/>
      <x:c r="O56" s="15" t="str"/>
      <x:c r="P56" s="15" t="str"/>
      <x:c r="Q56" s="15" t="str">
        <x:v>New Solve</x:v>
      </x:c>
    </x:row>
    <x:row r="57">
      <x:c r="A57" s="15" t="n">
        <x:v>56</x:v>
      </x:c>
      <x:c r="B57" s="39" t="n">
        <x:v>46248</x:v>
      </x:c>
      <x:c r="C57" s="15" t="str">
        <x:v>Phase 1: 1/day</x:v>
      </x:c>
      <x:c r="D57" s="15" t="str">
        <x:v>Arrays &amp; Hashing</x:v>
      </x:c>
      <x:c r="E57" s="15" t="str">
        <x:v>Easy</x:v>
      </x:c>
      <x:c r="F57" s="15" t="n">
        <x:v>1287</x:v>
      </x:c>
      <x:c r="G57" s="15" t="str">
        <x:v>Element Appearing More Than 25% In Sorted Array</x:v>
      </x:c>
      <x:c r="H57" s="15" t="str">
        <x:v>https://leetcode.com/problems/element-appearing-more-than-25-in-sorted-array/</x:v>
      </x:c>
      <x:c r="I57" s="15" t="str">
        <x:v>Not Started</x:v>
      </x:c>
      <x:c r="J57" s="39"/>
      <x:c r="K57" s="39"/>
      <x:c r="L57" s="39"/>
      <x:c r="M57" s="15" t="str"/>
      <x:c r="N57" s="15" t="str"/>
      <x:c r="O57" s="15" t="str"/>
      <x:c r="P57" s="15" t="str"/>
      <x:c r="Q57" s="15" t="str">
        <x:v>New Solve</x:v>
      </x:c>
    </x:row>
    <x:row r="58">
      <x:c r="A58" s="15" t="n">
        <x:v>57</x:v>
      </x:c>
      <x:c r="B58" s="39" t="n">
        <x:v>46249</x:v>
      </x:c>
      <x:c r="C58" s="15" t="str">
        <x:v>Phase 1: 1/day</x:v>
      </x:c>
      <x:c r="D58" s="15" t="str">
        <x:v>Arrays &amp; Hashing</x:v>
      </x:c>
      <x:c r="E58" s="15" t="str">
        <x:v>Easy</x:v>
      </x:c>
      <x:c r="F58" s="15" t="n">
        <x:v>905</x:v>
      </x:c>
      <x:c r="G58" s="15" t="str">
        <x:v>Sort Array By Parity</x:v>
      </x:c>
      <x:c r="H58" s="15" t="str">
        <x:v>https://leetcode.com/problems/sort-array-by-parity/</x:v>
      </x:c>
      <x:c r="I58" s="15" t="str">
        <x:v>Not Started</x:v>
      </x:c>
      <x:c r="J58" s="39"/>
      <x:c r="K58" s="39"/>
      <x:c r="L58" s="39"/>
      <x:c r="M58" s="15" t="str"/>
      <x:c r="N58" s="15" t="str"/>
      <x:c r="O58" s="15" t="str"/>
      <x:c r="P58" s="15" t="str"/>
      <x:c r="Q58" s="15" t="str">
        <x:v>New Solve</x:v>
      </x:c>
    </x:row>
    <x:row r="59">
      <x:c r="A59" s="15" t="n">
        <x:v>58</x:v>
      </x:c>
      <x:c r="B59" s="39" t="n">
        <x:v>46250</x:v>
      </x:c>
      <x:c r="C59" s="15" t="str">
        <x:v>Phase 1: 1/day</x:v>
      </x:c>
      <x:c r="D59" s="15" t="str">
        <x:v>Arrays &amp; Hashing</x:v>
      </x:c>
      <x:c r="E59" s="15" t="str">
        <x:v>Easy</x:v>
      </x:c>
      <x:c r="F59" s="15" t="n">
        <x:v>922</x:v>
      </x:c>
      <x:c r="G59" s="15" t="str">
        <x:v>Sort Array By Parity II</x:v>
      </x:c>
      <x:c r="H59" s="15" t="str">
        <x:v>https://leetcode.com/problems/sort-array-by-parity-ii/</x:v>
      </x:c>
      <x:c r="I59" s="15" t="str">
        <x:v>Not Started</x:v>
      </x:c>
      <x:c r="J59" s="39"/>
      <x:c r="K59" s="39"/>
      <x:c r="L59" s="39"/>
      <x:c r="M59" s="15" t="str"/>
      <x:c r="N59" s="15" t="str"/>
      <x:c r="O59" s="15" t="str"/>
      <x:c r="P59" s="15" t="str"/>
      <x:c r="Q59" s="15" t="str">
        <x:v>New Solve</x:v>
      </x:c>
    </x:row>
    <x:row r="60">
      <x:c r="A60" s="15" t="n">
        <x:v>59</x:v>
      </x:c>
      <x:c r="B60" s="39" t="n">
        <x:v>46251</x:v>
      </x:c>
      <x:c r="C60" s="15" t="str">
        <x:v>Phase 1: 1/day</x:v>
      </x:c>
      <x:c r="D60" s="15" t="str">
        <x:v>Arrays &amp; Hashing</x:v>
      </x:c>
      <x:c r="E60" s="15" t="str">
        <x:v>Easy</x:v>
      </x:c>
      <x:c r="F60" s="15" t="n">
        <x:v>561</x:v>
      </x:c>
      <x:c r="G60" s="15" t="str">
        <x:v>Array Partition</x:v>
      </x:c>
      <x:c r="H60" s="15" t="str">
        <x:v>https://leetcode.com/problems/array-partition/</x:v>
      </x:c>
      <x:c r="I60" s="15" t="str">
        <x:v>Not Started</x:v>
      </x:c>
      <x:c r="J60" s="39"/>
      <x:c r="K60" s="39"/>
      <x:c r="L60" s="39"/>
      <x:c r="M60" s="15" t="str"/>
      <x:c r="N60" s="15" t="str"/>
      <x:c r="O60" s="15" t="str"/>
      <x:c r="P60" s="15" t="str"/>
      <x:c r="Q60" s="15" t="str">
        <x:v>New Solve</x:v>
      </x:c>
    </x:row>
    <x:row r="61">
      <x:c r="A61" s="15" t="n">
        <x:v>60</x:v>
      </x:c>
      <x:c r="B61" s="39" t="n">
        <x:v>46252</x:v>
      </x:c>
      <x:c r="C61" s="15" t="str">
        <x:v>Phase 1: 1/day</x:v>
      </x:c>
      <x:c r="D61" s="15" t="str">
        <x:v>Arrays &amp; Hashing</x:v>
      </x:c>
      <x:c r="E61" s="15" t="str">
        <x:v>Medium</x:v>
      </x:c>
      <x:c r="F61" s="15" t="n">
        <x:v>665</x:v>
      </x:c>
      <x:c r="G61" s="15" t="str">
        <x:v>Non-decreasing Array</x:v>
      </x:c>
      <x:c r="H61" s="15" t="str">
        <x:v>https://leetcode.com/problems/non-decreasing-array/</x:v>
      </x:c>
      <x:c r="I61" s="15" t="str">
        <x:v>Not Started</x:v>
      </x:c>
      <x:c r="J61" s="39"/>
      <x:c r="K61" s="39"/>
      <x:c r="L61" s="39"/>
      <x:c r="M61" s="15" t="str"/>
      <x:c r="N61" s="15" t="str"/>
      <x:c r="O61" s="15" t="str"/>
      <x:c r="P61" s="15" t="str"/>
      <x:c r="Q61" s="15" t="str">
        <x:v>New Solve</x:v>
      </x:c>
    </x:row>
    <x:row r="62">
      <x:c r="A62" s="15" t="n">
        <x:v>61</x:v>
      </x:c>
      <x:c r="B62" s="39" t="n">
        <x:v>46253</x:v>
      </x:c>
      <x:c r="C62" s="15" t="str">
        <x:v>Phase 1: 1/day</x:v>
      </x:c>
      <x:c r="D62" s="15" t="str">
        <x:v>Arrays &amp; Hashing</x:v>
      </x:c>
      <x:c r="E62" s="15" t="str">
        <x:v>Easy</x:v>
      </x:c>
      <x:c r="F62" s="15" t="n">
        <x:v>896</x:v>
      </x:c>
      <x:c r="G62" s="15" t="str">
        <x:v>Monotonic Array</x:v>
      </x:c>
      <x:c r="H62" s="15" t="str">
        <x:v>https://leetcode.com/problems/monotonic-array/</x:v>
      </x:c>
      <x:c r="I62" s="15" t="str">
        <x:v>Not Started</x:v>
      </x:c>
      <x:c r="J62" s="39"/>
      <x:c r="K62" s="39"/>
      <x:c r="L62" s="39"/>
      <x:c r="M62" s="15" t="str"/>
      <x:c r="N62" s="15" t="str"/>
      <x:c r="O62" s="15" t="str"/>
      <x:c r="P62" s="15" t="str"/>
      <x:c r="Q62" s="15" t="str">
        <x:v>New Solve</x:v>
      </x:c>
    </x:row>
    <x:row r="63">
      <x:c r="A63" s="15" t="n">
        <x:v>62</x:v>
      </x:c>
      <x:c r="B63" s="39" t="n">
        <x:v>46254</x:v>
      </x:c>
      <x:c r="C63" s="15" t="str">
        <x:v>Phase 1: 1/day</x:v>
      </x:c>
      <x:c r="D63" s="15" t="str">
        <x:v>Arrays &amp; Hashing</x:v>
      </x:c>
      <x:c r="E63" s="15" t="str">
        <x:v>Medium</x:v>
      </x:c>
      <x:c r="F63" s="15" t="n">
        <x:v>849</x:v>
      </x:c>
      <x:c r="G63" s="15" t="str">
        <x:v>Maximize Distance to Closest Person</x:v>
      </x:c>
      <x:c r="H63" s="15" t="str">
        <x:v>https://leetcode.com/problems/maximize-distance-to-closest-person/</x:v>
      </x:c>
      <x:c r="I63" s="15" t="str">
        <x:v>Not Started</x:v>
      </x:c>
      <x:c r="J63" s="39"/>
      <x:c r="K63" s="39"/>
      <x:c r="L63" s="39"/>
      <x:c r="M63" s="15" t="str"/>
      <x:c r="N63" s="15" t="str"/>
      <x:c r="O63" s="15" t="str"/>
      <x:c r="P63" s="15" t="str"/>
      <x:c r="Q63" s="15" t="str">
        <x:v>New Solve</x:v>
      </x:c>
    </x:row>
    <x:row r="64">
      <x:c r="A64" s="15" t="n">
        <x:v>63</x:v>
      </x:c>
      <x:c r="B64" s="39" t="n">
        <x:v>46255</x:v>
      </x:c>
      <x:c r="C64" s="15" t="str">
        <x:v>Phase 1: 1/day</x:v>
      </x:c>
      <x:c r="D64" s="15" t="str">
        <x:v>Arrays &amp; Hashing</x:v>
      </x:c>
      <x:c r="E64" s="15" t="str">
        <x:v>Easy</x:v>
      </x:c>
      <x:c r="F64" s="15" t="n">
        <x:v>1346</x:v>
      </x:c>
      <x:c r="G64" s="15" t="str">
        <x:v>Check If N and Its Double Exist</x:v>
      </x:c>
      <x:c r="H64" s="15" t="str">
        <x:v>https://leetcode.com/problems/check-if-n-and-its-double-exist/</x:v>
      </x:c>
      <x:c r="I64" s="15" t="str">
        <x:v>Not Started</x:v>
      </x:c>
      <x:c r="J64" s="39"/>
      <x:c r="K64" s="39"/>
      <x:c r="L64" s="39"/>
      <x:c r="M64" s="15" t="str"/>
      <x:c r="N64" s="15" t="str"/>
      <x:c r="O64" s="15" t="str"/>
      <x:c r="P64" s="15" t="str"/>
      <x:c r="Q64" s="15" t="str">
        <x:v>New Solve</x:v>
      </x:c>
    </x:row>
    <x:row r="65">
      <x:c r="A65" s="15" t="n">
        <x:v>64</x:v>
      </x:c>
      <x:c r="B65" s="39" t="n">
        <x:v>46256</x:v>
      </x:c>
      <x:c r="C65" s="15" t="str">
        <x:v>Phase 1: 1/day</x:v>
      </x:c>
      <x:c r="D65" s="15" t="str">
        <x:v>Arrays &amp; Hashing</x:v>
      </x:c>
      <x:c r="E65" s="15" t="str">
        <x:v>Easy</x:v>
      </x:c>
      <x:c r="F65" s="15" t="n">
        <x:v>941</x:v>
      </x:c>
      <x:c r="G65" s="15" t="str">
        <x:v>Valid Mountain Array</x:v>
      </x:c>
      <x:c r="H65" s="15" t="str">
        <x:v>https://leetcode.com/problems/valid-mountain-array/</x:v>
      </x:c>
      <x:c r="I65" s="15" t="str">
        <x:v>Not Started</x:v>
      </x:c>
      <x:c r="J65" s="39"/>
      <x:c r="K65" s="39"/>
      <x:c r="L65" s="39"/>
      <x:c r="M65" s="15" t="str"/>
      <x:c r="N65" s="15" t="str"/>
      <x:c r="O65" s="15" t="str"/>
      <x:c r="P65" s="15" t="str"/>
      <x:c r="Q65" s="15" t="str">
        <x:v>New Solve</x:v>
      </x:c>
    </x:row>
    <x:row r="66">
      <x:c r="A66" s="15" t="n">
        <x:v>65</x:v>
      </x:c>
      <x:c r="B66" s="39" t="n">
        <x:v>46257</x:v>
      </x:c>
      <x:c r="C66" s="15" t="str">
        <x:v>Phase 1: 1/day</x:v>
      </x:c>
      <x:c r="D66" s="15" t="str">
        <x:v>Arrays &amp; Hashing</x:v>
      </x:c>
      <x:c r="E66" s="15" t="str">
        <x:v>Easy</x:v>
      </x:c>
      <x:c r="F66" s="15" t="n">
        <x:v>1299</x:v>
      </x:c>
      <x:c r="G66" s="15" t="str">
        <x:v>Replace Elements with Greatest Element on Right Side</x:v>
      </x:c>
      <x:c r="H66" s="15" t="str">
        <x:v>https://leetcode.com/problems/replace-elements-with-greatest-element-on-right-side/</x:v>
      </x:c>
      <x:c r="I66" s="15" t="str">
        <x:v>Not Started</x:v>
      </x:c>
      <x:c r="J66" s="39"/>
      <x:c r="K66" s="39"/>
      <x:c r="L66" s="39"/>
      <x:c r="M66" s="15" t="str"/>
      <x:c r="N66" s="15" t="str"/>
      <x:c r="O66" s="15" t="str"/>
      <x:c r="P66" s="15" t="str"/>
      <x:c r="Q66" s="15" t="str">
        <x:v>New Solve</x:v>
      </x:c>
    </x:row>
    <x:row r="67">
      <x:c r="A67" s="15" t="n">
        <x:v>66</x:v>
      </x:c>
      <x:c r="B67" s="39"/>
      <x:c r="C67" s="15" t="str">
        <x:v>Already solved - revise</x:v>
      </x:c>
      <x:c r="D67" s="15" t="str">
        <x:v>Strings</x:v>
      </x:c>
      <x:c r="E67" s="15" t="str">
        <x:v>Easy</x:v>
      </x:c>
      <x:c r="F67" s="15" t="n">
        <x:v>344</x:v>
      </x:c>
      <x:c r="G67" s="15" t="str">
        <x:v>Reverse String</x:v>
      </x:c>
      <x:c r="H67" s="15" t="str">
        <x:v>https://leetcode.com/problems/reverse-string/</x:v>
      </x:c>
      <x:c r="I67" s="15" t="str">
        <x:v>Done</x:v>
      </x:c>
      <x:c r="J67" s="39"/>
      <x:c r="K67" s="39"/>
      <x:c r="L67" s="39"/>
      <x:c r="M67" s="15" t="str"/>
      <x:c r="N67" s="15" t="str"/>
      <x:c r="O67" s="15" t="str"/>
      <x:c r="P67" s="15" t="str"/>
      <x:c r="Q67" s="15" t="str">
        <x:v>Revision / Confirmed</x:v>
      </x:c>
    </x:row>
    <x:row r="68">
      <x:c r="A68" s="15" t="n">
        <x:v>67</x:v>
      </x:c>
      <x:c r="B68" s="39" t="n">
        <x:v>46258</x:v>
      </x:c>
      <x:c r="C68" s="15" t="str">
        <x:v>Phase 1: 1/day</x:v>
      </x:c>
      <x:c r="D68" s="15" t="str">
        <x:v>Strings</x:v>
      </x:c>
      <x:c r="E68" s="15" t="str">
        <x:v>Easy</x:v>
      </x:c>
      <x:c r="F68" s="15" t="n">
        <x:v>125</x:v>
      </x:c>
      <x:c r="G68" s="15" t="str">
        <x:v>Valid Palindrome</x:v>
      </x:c>
      <x:c r="H68" s="15" t="str">
        <x:v>https://leetcode.com/problems/valid-palindrome/</x:v>
      </x:c>
      <x:c r="I68" s="15" t="str">
        <x:v>Not Started</x:v>
      </x:c>
      <x:c r="J68" s="39"/>
      <x:c r="K68" s="39"/>
      <x:c r="L68" s="39"/>
      <x:c r="M68" s="15" t="str"/>
      <x:c r="N68" s="15" t="str"/>
      <x:c r="O68" s="15" t="str"/>
      <x:c r="P68" s="15" t="str"/>
      <x:c r="Q68" s="15" t="str">
        <x:v>New Solve</x:v>
      </x:c>
    </x:row>
    <x:row r="69">
      <x:c r="A69" s="15" t="n">
        <x:v>68</x:v>
      </x:c>
      <x:c r="B69" s="39" t="n">
        <x:v>46259</x:v>
      </x:c>
      <x:c r="C69" s="15" t="str">
        <x:v>Phase 1: 1/day</x:v>
      </x:c>
      <x:c r="D69" s="15" t="str">
        <x:v>Strings</x:v>
      </x:c>
      <x:c r="E69" s="15" t="str">
        <x:v>Easy</x:v>
      </x:c>
      <x:c r="F69" s="15" t="n">
        <x:v>14</x:v>
      </x:c>
      <x:c r="G69" s="15" t="str">
        <x:v>Longest Common Prefix</x:v>
      </x:c>
      <x:c r="H69" s="15" t="str">
        <x:v>https://leetcode.com/problems/longest-common-prefix/</x:v>
      </x:c>
      <x:c r="I69" s="15" t="str">
        <x:v>Not Started</x:v>
      </x:c>
      <x:c r="J69" s="39"/>
      <x:c r="K69" s="39"/>
      <x:c r="L69" s="39"/>
      <x:c r="M69" s="15" t="str"/>
      <x:c r="N69" s="15" t="str"/>
      <x:c r="O69" s="15" t="str"/>
      <x:c r="P69" s="15" t="str"/>
      <x:c r="Q69" s="15" t="str">
        <x:v>New Solve</x:v>
      </x:c>
    </x:row>
    <x:row r="70">
      <x:c r="A70" s="15" t="n">
        <x:v>69</x:v>
      </x:c>
      <x:c r="B70" s="39"/>
      <x:c r="C70" s="15" t="str">
        <x:v>Already solved - revise</x:v>
      </x:c>
      <x:c r="D70" s="15" t="str">
        <x:v>Strings</x:v>
      </x:c>
      <x:c r="E70" s="15" t="str">
        <x:v>Easy</x:v>
      </x:c>
      <x:c r="F70" s="15" t="n">
        <x:v>13</x:v>
      </x:c>
      <x:c r="G70" s="15" t="str">
        <x:v>Roman to Integer</x:v>
      </x:c>
      <x:c r="H70" s="15" t="str">
        <x:v>https://leetcode.com/problems/roman-to-integer/</x:v>
      </x:c>
      <x:c r="I70" s="15" t="str">
        <x:v>Done</x:v>
      </x:c>
      <x:c r="J70" s="39"/>
      <x:c r="K70" s="39"/>
      <x:c r="L70" s="39"/>
      <x:c r="M70" s="15" t="str"/>
      <x:c r="N70" s="15" t="str"/>
      <x:c r="O70" s="15" t="str"/>
      <x:c r="P70" s="15" t="str"/>
      <x:c r="Q70" s="15" t="str">
        <x:v>Revision / Confirmed</x:v>
      </x:c>
    </x:row>
    <x:row r="71">
      <x:c r="A71" s="15" t="n">
        <x:v>70</x:v>
      </x:c>
      <x:c r="B71" s="39" t="n">
        <x:v>46260</x:v>
      </x:c>
      <x:c r="C71" s="15" t="str">
        <x:v>Phase 1: 1/day</x:v>
      </x:c>
      <x:c r="D71" s="15" t="str">
        <x:v>Strings</x:v>
      </x:c>
      <x:c r="E71" s="15" t="str">
        <x:v>Easy</x:v>
      </x:c>
      <x:c r="F71" s="15" t="n">
        <x:v>58</x:v>
      </x:c>
      <x:c r="G71" s="15" t="str">
        <x:v>Length of Last Word</x:v>
      </x:c>
      <x:c r="H71" s="15" t="str">
        <x:v>https://leetcode.com/problems/length-of-last-word/</x:v>
      </x:c>
      <x:c r="I71" s="15" t="str">
        <x:v>Not Started</x:v>
      </x:c>
      <x:c r="J71" s="39"/>
      <x:c r="K71" s="39"/>
      <x:c r="L71" s="39"/>
      <x:c r="M71" s="15" t="str"/>
      <x:c r="N71" s="15" t="str"/>
      <x:c r="O71" s="15" t="str"/>
      <x:c r="P71" s="15" t="str"/>
      <x:c r="Q71" s="15" t="str">
        <x:v>New Solve</x:v>
      </x:c>
    </x:row>
    <x:row r="72">
      <x:c r="A72" s="15" t="n">
        <x:v>71</x:v>
      </x:c>
      <x:c r="B72" s="39" t="n">
        <x:v>46261</x:v>
      </x:c>
      <x:c r="C72" s="15" t="str">
        <x:v>Phase 1: 1/day</x:v>
      </x:c>
      <x:c r="D72" s="15" t="str">
        <x:v>Strings</x:v>
      </x:c>
      <x:c r="E72" s="15" t="str">
        <x:v>Easy</x:v>
      </x:c>
      <x:c r="F72" s="15" t="n">
        <x:v>67</x:v>
      </x:c>
      <x:c r="G72" s="15" t="str">
        <x:v>Add Binary</x:v>
      </x:c>
      <x:c r="H72" s="15" t="str">
        <x:v>https://leetcode.com/problems/add-binary/</x:v>
      </x:c>
      <x:c r="I72" s="15" t="str">
        <x:v>Not Started</x:v>
      </x:c>
      <x:c r="J72" s="39"/>
      <x:c r="K72" s="39"/>
      <x:c r="L72" s="39"/>
      <x:c r="M72" s="15" t="str"/>
      <x:c r="N72" s="15" t="str"/>
      <x:c r="O72" s="15" t="str"/>
      <x:c r="P72" s="15" t="str"/>
      <x:c r="Q72" s="15" t="str">
        <x:v>New Solve</x:v>
      </x:c>
    </x:row>
    <x:row r="73">
      <x:c r="A73" s="15" t="n">
        <x:v>72</x:v>
      </x:c>
      <x:c r="B73" s="39"/>
      <x:c r="C73" s="15" t="str">
        <x:v>Already solved - revise</x:v>
      </x:c>
      <x:c r="D73" s="15" t="str">
        <x:v>Strings</x:v>
      </x:c>
      <x:c r="E73" s="15" t="str">
        <x:v>Easy</x:v>
      </x:c>
      <x:c r="F73" s="15" t="n">
        <x:v>709</x:v>
      </x:c>
      <x:c r="G73" s="15" t="str">
        <x:v>To Lower Case</x:v>
      </x:c>
      <x:c r="H73" s="15" t="str">
        <x:v>https://leetcode.com/problems/to-lower-case/</x:v>
      </x:c>
      <x:c r="I73" s="15" t="str">
        <x:v>Done</x:v>
      </x:c>
      <x:c r="J73" s="39"/>
      <x:c r="K73" s="39"/>
      <x:c r="L73" s="39"/>
      <x:c r="M73" s="15" t="str"/>
      <x:c r="N73" s="15" t="str"/>
      <x:c r="O73" s="15" t="str"/>
      <x:c r="P73" s="15" t="str"/>
      <x:c r="Q73" s="15" t="str">
        <x:v>Revision / Confirmed</x:v>
      </x:c>
    </x:row>
    <x:row r="74">
      <x:c r="A74" s="15" t="n">
        <x:v>73</x:v>
      </x:c>
      <x:c r="B74" s="39" t="n">
        <x:v>46262</x:v>
      </x:c>
      <x:c r="C74" s="15" t="str">
        <x:v>Phase 1: 1/day</x:v>
      </x:c>
      <x:c r="D74" s="15" t="str">
        <x:v>Strings</x:v>
      </x:c>
      <x:c r="E74" s="15" t="str">
        <x:v>Easy</x:v>
      </x:c>
      <x:c r="F74" s="15" t="n">
        <x:v>771</x:v>
      </x:c>
      <x:c r="G74" s="15" t="str">
        <x:v>Jewels and Stones</x:v>
      </x:c>
      <x:c r="H74" s="15" t="str">
        <x:v>https://leetcode.com/problems/jewels-and-stones/</x:v>
      </x:c>
      <x:c r="I74" s="15" t="str">
        <x:v>Not Started</x:v>
      </x:c>
      <x:c r="J74" s="39"/>
      <x:c r="K74" s="39"/>
      <x:c r="L74" s="39"/>
      <x:c r="M74" s="15" t="str"/>
      <x:c r="N74" s="15" t="str"/>
      <x:c r="O74" s="15" t="str"/>
      <x:c r="P74" s="15" t="str"/>
      <x:c r="Q74" s="15" t="str">
        <x:v>New Solve</x:v>
      </x:c>
    </x:row>
    <x:row r="75">
      <x:c r="A75" s="15" t="n">
        <x:v>74</x:v>
      </x:c>
      <x:c r="B75" s="39" t="n">
        <x:v>46263</x:v>
      </x:c>
      <x:c r="C75" s="15" t="str">
        <x:v>Phase 1: 1/day</x:v>
      </x:c>
      <x:c r="D75" s="15" t="str">
        <x:v>Strings</x:v>
      </x:c>
      <x:c r="E75" s="15" t="str">
        <x:v>Easy</x:v>
      </x:c>
      <x:c r="F75" s="15" t="n">
        <x:v>1108</x:v>
      </x:c>
      <x:c r="G75" s="15" t="str">
        <x:v>Defanging an IP Address</x:v>
      </x:c>
      <x:c r="H75" s="15" t="str">
        <x:v>https://leetcode.com/problems/defanging-an-ip-address/</x:v>
      </x:c>
      <x:c r="I75" s="15" t="str">
        <x:v>Not Started</x:v>
      </x:c>
      <x:c r="J75" s="39"/>
      <x:c r="K75" s="39"/>
      <x:c r="L75" s="39"/>
      <x:c r="M75" s="15" t="str"/>
      <x:c r="N75" s="15" t="str"/>
      <x:c r="O75" s="15" t="str"/>
      <x:c r="P75" s="15" t="str"/>
      <x:c r="Q75" s="15" t="str">
        <x:v>New Solve</x:v>
      </x:c>
    </x:row>
    <x:row r="76">
      <x:c r="A76" s="15" t="n">
        <x:v>75</x:v>
      </x:c>
      <x:c r="B76" s="39" t="n">
        <x:v>46264</x:v>
      </x:c>
      <x:c r="C76" s="15" t="str">
        <x:v>Phase 1: 1/day</x:v>
      </x:c>
      <x:c r="D76" s="15" t="str">
        <x:v>Strings</x:v>
      </x:c>
      <x:c r="E76" s="15" t="str">
        <x:v>Easy</x:v>
      </x:c>
      <x:c r="F76" s="15" t="n">
        <x:v>1528</x:v>
      </x:c>
      <x:c r="G76" s="15" t="str">
        <x:v>Shuffle String</x:v>
      </x:c>
      <x:c r="H76" s="15" t="str">
        <x:v>https://leetcode.com/problems/shuffle-string/</x:v>
      </x:c>
      <x:c r="I76" s="15" t="str">
        <x:v>Not Started</x:v>
      </x:c>
      <x:c r="J76" s="39"/>
      <x:c r="K76" s="39"/>
      <x:c r="L76" s="39"/>
      <x:c r="M76" s="15" t="str"/>
      <x:c r="N76" s="15" t="str"/>
      <x:c r="O76" s="15" t="str"/>
      <x:c r="P76" s="15" t="str"/>
      <x:c r="Q76" s="15" t="str">
        <x:v>New Solve</x:v>
      </x:c>
    </x:row>
    <x:row r="77">
      <x:c r="A77" s="15" t="n">
        <x:v>76</x:v>
      </x:c>
      <x:c r="B77" s="39" t="n">
        <x:v>46265</x:v>
      </x:c>
      <x:c r="C77" s="15" t="str">
        <x:v>Phase 1: 1/day</x:v>
      </x:c>
      <x:c r="D77" s="15" t="str">
        <x:v>Strings</x:v>
      </x:c>
      <x:c r="E77" s="15" t="str">
        <x:v>Easy</x:v>
      </x:c>
      <x:c r="F77" s="15" t="n">
        <x:v>1678</x:v>
      </x:c>
      <x:c r="G77" s="15" t="str">
        <x:v>Goal Parser Interpretation</x:v>
      </x:c>
      <x:c r="H77" s="15" t="str">
        <x:v>https://leetcode.com/problems/goal-parser-interpretation/</x:v>
      </x:c>
      <x:c r="I77" s="15" t="str">
        <x:v>Not Started</x:v>
      </x:c>
      <x:c r="J77" s="39"/>
      <x:c r="K77" s="39"/>
      <x:c r="L77" s="39"/>
      <x:c r="M77" s="15" t="str"/>
      <x:c r="N77" s="15" t="str"/>
      <x:c r="O77" s="15" t="str"/>
      <x:c r="P77" s="15" t="str"/>
      <x:c r="Q77" s="15" t="str">
        <x:v>New Solve</x:v>
      </x:c>
    </x:row>
    <x:row r="78">
      <x:c r="A78" s="15" t="n">
        <x:v>77</x:v>
      </x:c>
      <x:c r="B78" s="39" t="n">
        <x:v>46266</x:v>
      </x:c>
      <x:c r="C78" s="15" t="str">
        <x:v>Phase 1: 1/day</x:v>
      </x:c>
      <x:c r="D78" s="15" t="str">
        <x:v>Strings</x:v>
      </x:c>
      <x:c r="E78" s="15" t="str">
        <x:v>Easy</x:v>
      </x:c>
      <x:c r="F78" s="15" t="n">
        <x:v>1768</x:v>
      </x:c>
      <x:c r="G78" s="15" t="str">
        <x:v>Merge Strings Alternately</x:v>
      </x:c>
      <x:c r="H78" s="15" t="str">
        <x:v>https://leetcode.com/problems/merge-strings-alternately/</x:v>
      </x:c>
      <x:c r="I78" s="15" t="str">
        <x:v>Not Started</x:v>
      </x:c>
      <x:c r="J78" s="39"/>
      <x:c r="K78" s="39"/>
      <x:c r="L78" s="39"/>
      <x:c r="M78" s="15" t="str"/>
      <x:c r="N78" s="15" t="str"/>
      <x:c r="O78" s="15" t="str"/>
      <x:c r="P78" s="15" t="str"/>
      <x:c r="Q78" s="15" t="str">
        <x:v>New Solve</x:v>
      </x:c>
    </x:row>
    <x:row r="79">
      <x:c r="A79" s="15" t="n">
        <x:v>78</x:v>
      </x:c>
      <x:c r="B79" s="39" t="n">
        <x:v>46267</x:v>
      </x:c>
      <x:c r="C79" s="15" t="str">
        <x:v>Phase 1: 1/day</x:v>
      </x:c>
      <x:c r="D79" s="15" t="str">
        <x:v>Strings</x:v>
      </x:c>
      <x:c r="E79" s="15" t="str">
        <x:v>Easy</x:v>
      </x:c>
      <x:c r="F79" s="15" t="n">
        <x:v>1876</x:v>
      </x:c>
      <x:c r="G79" s="15" t="str">
        <x:v>Substrings of Size Three with Distinct Characters</x:v>
      </x:c>
      <x:c r="H79" s="15" t="str">
        <x:v>https://leetcode.com/problems/substrings-of-size-three-with-distinct-characters/</x:v>
      </x:c>
      <x:c r="I79" s="15" t="str">
        <x:v>Not Started</x:v>
      </x:c>
      <x:c r="J79" s="39"/>
      <x:c r="K79" s="39"/>
      <x:c r="L79" s="39"/>
      <x:c r="M79" s="15" t="str"/>
      <x:c r="N79" s="15" t="str"/>
      <x:c r="O79" s="15" t="str"/>
      <x:c r="P79" s="15" t="str"/>
      <x:c r="Q79" s="15" t="str">
        <x:v>New Solve</x:v>
      </x:c>
    </x:row>
    <x:row r="80">
      <x:c r="A80" s="15" t="n">
        <x:v>79</x:v>
      </x:c>
      <x:c r="B80" s="39" t="n">
        <x:v>46268</x:v>
      </x:c>
      <x:c r="C80" s="15" t="str">
        <x:v>Phase 1: 1/day</x:v>
      </x:c>
      <x:c r="D80" s="15" t="str">
        <x:v>Strings</x:v>
      </x:c>
      <x:c r="E80" s="15" t="str">
        <x:v>Easy</x:v>
      </x:c>
      <x:c r="F80" s="15" t="n">
        <x:v>205</x:v>
      </x:c>
      <x:c r="G80" s="15" t="str">
        <x:v>Isomorphic Strings</x:v>
      </x:c>
      <x:c r="H80" s="15" t="str">
        <x:v>https://leetcode.com/problems/isomorphic-strings/</x:v>
      </x:c>
      <x:c r="I80" s="15" t="str">
        <x:v>Not Started</x:v>
      </x:c>
      <x:c r="J80" s="39"/>
      <x:c r="K80" s="39"/>
      <x:c r="L80" s="39"/>
      <x:c r="M80" s="15" t="str"/>
      <x:c r="N80" s="15" t="str"/>
      <x:c r="O80" s="15" t="str"/>
      <x:c r="P80" s="15" t="str"/>
      <x:c r="Q80" s="15" t="str">
        <x:v>New Solve</x:v>
      </x:c>
    </x:row>
    <x:row r="81">
      <x:c r="A81" s="15" t="n">
        <x:v>80</x:v>
      </x:c>
      <x:c r="B81" s="39" t="n">
        <x:v>46269</x:v>
      </x:c>
      <x:c r="C81" s="15" t="str">
        <x:v>Phase 1: 1/day</x:v>
      </x:c>
      <x:c r="D81" s="15" t="str">
        <x:v>Strings</x:v>
      </x:c>
      <x:c r="E81" s="15" t="str">
        <x:v>Easy</x:v>
      </x:c>
      <x:c r="F81" s="15" t="n">
        <x:v>290</x:v>
      </x:c>
      <x:c r="G81" s="15" t="str">
        <x:v>Word Pattern</x:v>
      </x:c>
      <x:c r="H81" s="15" t="str">
        <x:v>https://leetcode.com/problems/word-pattern/</x:v>
      </x:c>
      <x:c r="I81" s="15" t="str">
        <x:v>Not Started</x:v>
      </x:c>
      <x:c r="J81" s="39"/>
      <x:c r="K81" s="39"/>
      <x:c r="L81" s="39"/>
      <x:c r="M81" s="15" t="str"/>
      <x:c r="N81" s="15" t="str"/>
      <x:c r="O81" s="15" t="str"/>
      <x:c r="P81" s="15" t="str"/>
      <x:c r="Q81" s="15" t="str">
        <x:v>New Solve</x:v>
      </x:c>
    </x:row>
    <x:row r="82">
      <x:c r="A82" s="15" t="n">
        <x:v>81</x:v>
      </x:c>
      <x:c r="B82" s="39" t="n">
        <x:v>46270</x:v>
      </x:c>
      <x:c r="C82" s="15" t="str">
        <x:v>Phase 1: 1/day</x:v>
      </x:c>
      <x:c r="D82" s="15" t="str">
        <x:v>Strings</x:v>
      </x:c>
      <x:c r="E82" s="15" t="str">
        <x:v>Easy</x:v>
      </x:c>
      <x:c r="F82" s="15" t="n">
        <x:v>409</x:v>
      </x:c>
      <x:c r="G82" s="15" t="str">
        <x:v>Longest Palindrome</x:v>
      </x:c>
      <x:c r="H82" s="15" t="str">
        <x:v>https://leetcode.com/problems/longest-palindrome/</x:v>
      </x:c>
      <x:c r="I82" s="15" t="str">
        <x:v>Not Started</x:v>
      </x:c>
      <x:c r="J82" s="39"/>
      <x:c r="K82" s="39"/>
      <x:c r="L82" s="39"/>
      <x:c r="M82" s="15" t="str"/>
      <x:c r="N82" s="15" t="str"/>
      <x:c r="O82" s="15" t="str"/>
      <x:c r="P82" s="15" t="str"/>
      <x:c r="Q82" s="15" t="str">
        <x:v>New Solve</x:v>
      </x:c>
    </x:row>
    <x:row r="83">
      <x:c r="A83" s="15" t="n">
        <x:v>82</x:v>
      </x:c>
      <x:c r="B83" s="39" t="n">
        <x:v>46271</x:v>
      </x:c>
      <x:c r="C83" s="15" t="str">
        <x:v>Phase 1: 1/day</x:v>
      </x:c>
      <x:c r="D83" s="15" t="str">
        <x:v>Strings</x:v>
      </x:c>
      <x:c r="E83" s="15" t="str">
        <x:v>Easy</x:v>
      </x:c>
      <x:c r="F83" s="15" t="n">
        <x:v>520</x:v>
      </x:c>
      <x:c r="G83" s="15" t="str">
        <x:v>Detect Capital</x:v>
      </x:c>
      <x:c r="H83" s="15" t="str">
        <x:v>https://leetcode.com/problems/detect-capital/</x:v>
      </x:c>
      <x:c r="I83" s="15" t="str">
        <x:v>Not Started</x:v>
      </x:c>
      <x:c r="J83" s="39"/>
      <x:c r="K83" s="39"/>
      <x:c r="L83" s="39"/>
      <x:c r="M83" s="15" t="str"/>
      <x:c r="N83" s="15" t="str"/>
      <x:c r="O83" s="15" t="str"/>
      <x:c r="P83" s="15" t="str"/>
      <x:c r="Q83" s="15" t="str">
        <x:v>New Solve</x:v>
      </x:c>
    </x:row>
    <x:row r="84">
      <x:c r="A84" s="15" t="n">
        <x:v>83</x:v>
      </x:c>
      <x:c r="B84" s="39" t="n">
        <x:v>46272</x:v>
      </x:c>
      <x:c r="C84" s="15" t="str">
        <x:v>Phase 1: 1/day</x:v>
      </x:c>
      <x:c r="D84" s="15" t="str">
        <x:v>Strings</x:v>
      </x:c>
      <x:c r="E84" s="15" t="str">
        <x:v>Easy</x:v>
      </x:c>
      <x:c r="F84" s="15" t="n">
        <x:v>557</x:v>
      </x:c>
      <x:c r="G84" s="15" t="str">
        <x:v>Reverse Words in a String III</x:v>
      </x:c>
      <x:c r="H84" s="15" t="str">
        <x:v>https://leetcode.com/problems/reverse-words-in-a-string-iii/</x:v>
      </x:c>
      <x:c r="I84" s="15" t="str">
        <x:v>Not Started</x:v>
      </x:c>
      <x:c r="J84" s="39"/>
      <x:c r="K84" s="39"/>
      <x:c r="L84" s="39"/>
      <x:c r="M84" s="15" t="str"/>
      <x:c r="N84" s="15" t="str"/>
      <x:c r="O84" s="15" t="str"/>
      <x:c r="P84" s="15" t="str"/>
      <x:c r="Q84" s="15" t="str">
        <x:v>New Solve</x:v>
      </x:c>
    </x:row>
    <x:row r="85">
      <x:c r="A85" s="15" t="n">
        <x:v>84</x:v>
      </x:c>
      <x:c r="B85" s="39" t="n">
        <x:v>46273</x:v>
      </x:c>
      <x:c r="C85" s="15" t="str">
        <x:v>Phase 1: 1/day</x:v>
      </x:c>
      <x:c r="D85" s="15" t="str">
        <x:v>Strings</x:v>
      </x:c>
      <x:c r="E85" s="15" t="str">
        <x:v>Easy</x:v>
      </x:c>
      <x:c r="F85" s="15" t="n">
        <x:v>680</x:v>
      </x:c>
      <x:c r="G85" s="15" t="str">
        <x:v>Valid Palindrome II</x:v>
      </x:c>
      <x:c r="H85" s="15" t="str">
        <x:v>https://leetcode.com/problems/valid-palindrome-ii/</x:v>
      </x:c>
      <x:c r="I85" s="15" t="str">
        <x:v>Not Started</x:v>
      </x:c>
      <x:c r="J85" s="39"/>
      <x:c r="K85" s="39"/>
      <x:c r="L85" s="39"/>
      <x:c r="M85" s="15" t="str"/>
      <x:c r="N85" s="15" t="str"/>
      <x:c r="O85" s="15" t="str"/>
      <x:c r="P85" s="15" t="str"/>
      <x:c r="Q85" s="15" t="str">
        <x:v>New Solve</x:v>
      </x:c>
    </x:row>
    <x:row r="86">
      <x:c r="A86" s="15" t="n">
        <x:v>85</x:v>
      </x:c>
      <x:c r="B86" s="39" t="n">
        <x:v>46274</x:v>
      </x:c>
      <x:c r="C86" s="15" t="str">
        <x:v>Phase 1: 1/day</x:v>
      </x:c>
      <x:c r="D86" s="15" t="str">
        <x:v>Strings</x:v>
      </x:c>
      <x:c r="E86" s="15" t="str">
        <x:v>Easy</x:v>
      </x:c>
      <x:c r="F86" s="15" t="n">
        <x:v>859</x:v>
      </x:c>
      <x:c r="G86" s="15" t="str">
        <x:v>Buddy Strings</x:v>
      </x:c>
      <x:c r="H86" s="15" t="str">
        <x:v>https://leetcode.com/problems/buddy-strings/</x:v>
      </x:c>
      <x:c r="I86" s="15" t="str">
        <x:v>Not Started</x:v>
      </x:c>
      <x:c r="J86" s="39"/>
      <x:c r="K86" s="39"/>
      <x:c r="L86" s="39"/>
      <x:c r="M86" s="15" t="str"/>
      <x:c r="N86" s="15" t="str"/>
      <x:c r="O86" s="15" t="str"/>
      <x:c r="P86" s="15" t="str"/>
      <x:c r="Q86" s="15" t="str">
        <x:v>New Solve</x:v>
      </x:c>
    </x:row>
    <x:row r="87">
      <x:c r="A87" s="15" t="n">
        <x:v>86</x:v>
      </x:c>
      <x:c r="B87" s="39" t="n">
        <x:v>46275</x:v>
      </x:c>
      <x:c r="C87" s="15" t="str">
        <x:v>Phase 1: 1/day</x:v>
      </x:c>
      <x:c r="D87" s="15" t="str">
        <x:v>Strings</x:v>
      </x:c>
      <x:c r="E87" s="15" t="str">
        <x:v>Easy</x:v>
      </x:c>
      <x:c r="F87" s="15" t="n">
        <x:v>917</x:v>
      </x:c>
      <x:c r="G87" s="15" t="str">
        <x:v>Reverse Only Letters</x:v>
      </x:c>
      <x:c r="H87" s="15" t="str">
        <x:v>https://leetcode.com/problems/reverse-only-letters/</x:v>
      </x:c>
      <x:c r="I87" s="15" t="str">
        <x:v>Not Started</x:v>
      </x:c>
      <x:c r="J87" s="39"/>
      <x:c r="K87" s="39"/>
      <x:c r="L87" s="39"/>
      <x:c r="M87" s="15" t="str"/>
      <x:c r="N87" s="15" t="str"/>
      <x:c r="O87" s="15" t="str"/>
      <x:c r="P87" s="15" t="str"/>
      <x:c r="Q87" s="15" t="str">
        <x:v>New Solve</x:v>
      </x:c>
    </x:row>
    <x:row r="88">
      <x:c r="A88" s="15" t="n">
        <x:v>87</x:v>
      </x:c>
      <x:c r="B88" s="39" t="n">
        <x:v>46276</x:v>
      </x:c>
      <x:c r="C88" s="15" t="str">
        <x:v>Phase 1: 1/day</x:v>
      </x:c>
      <x:c r="D88" s="15" t="str">
        <x:v>Strings</x:v>
      </x:c>
      <x:c r="E88" s="15" t="str">
        <x:v>Easy</x:v>
      </x:c>
      <x:c r="F88" s="15" t="n">
        <x:v>925</x:v>
      </x:c>
      <x:c r="G88" s="15" t="str">
        <x:v>Long Pressed Name</x:v>
      </x:c>
      <x:c r="H88" s="15" t="str">
        <x:v>https://leetcode.com/problems/long-pressed-name/</x:v>
      </x:c>
      <x:c r="I88" s="15" t="str">
        <x:v>Not Started</x:v>
      </x:c>
      <x:c r="J88" s="39"/>
      <x:c r="K88" s="39"/>
      <x:c r="L88" s="39"/>
      <x:c r="M88" s="15" t="str"/>
      <x:c r="N88" s="15" t="str"/>
      <x:c r="O88" s="15" t="str"/>
      <x:c r="P88" s="15" t="str"/>
      <x:c r="Q88" s="15" t="str">
        <x:v>New Solve</x:v>
      </x:c>
    </x:row>
    <x:row r="89">
      <x:c r="A89" s="15" t="n">
        <x:v>88</x:v>
      </x:c>
      <x:c r="B89" s="39" t="n">
        <x:v>46277</x:v>
      </x:c>
      <x:c r="C89" s="15" t="str">
        <x:v>Phase 1: 1/day</x:v>
      </x:c>
      <x:c r="D89" s="15" t="str">
        <x:v>Strings</x:v>
      </x:c>
      <x:c r="E89" s="15" t="str">
        <x:v>Easy</x:v>
      </x:c>
      <x:c r="F89" s="15" t="n">
        <x:v>953</x:v>
      </x:c>
      <x:c r="G89" s="15" t="str">
        <x:v>Verifying an Alien Dictionary</x:v>
      </x:c>
      <x:c r="H89" s="15" t="str">
        <x:v>https://leetcode.com/problems/verifying-an-alien-dictionary/</x:v>
      </x:c>
      <x:c r="I89" s="15" t="str">
        <x:v>Not Started</x:v>
      </x:c>
      <x:c r="J89" s="39"/>
      <x:c r="K89" s="39"/>
      <x:c r="L89" s="39"/>
      <x:c r="M89" s="15" t="str"/>
      <x:c r="N89" s="15" t="str"/>
      <x:c r="O89" s="15" t="str"/>
      <x:c r="P89" s="15" t="str"/>
      <x:c r="Q89" s="15" t="str">
        <x:v>New Solve</x:v>
      </x:c>
    </x:row>
    <x:row r="90">
      <x:c r="A90" s="15" t="n">
        <x:v>89</x:v>
      </x:c>
      <x:c r="B90" s="39" t="n">
        <x:v>46278</x:v>
      </x:c>
      <x:c r="C90" s="15" t="str">
        <x:v>Phase 1: 1/day</x:v>
      </x:c>
      <x:c r="D90" s="15" t="str">
        <x:v>Strings</x:v>
      </x:c>
      <x:c r="E90" s="15" t="str">
        <x:v>Easy</x:v>
      </x:c>
      <x:c r="F90" s="15" t="n">
        <x:v>1021</x:v>
      </x:c>
      <x:c r="G90" s="15" t="str">
        <x:v>Remove Outermost Parentheses</x:v>
      </x:c>
      <x:c r="H90" s="15" t="str">
        <x:v>https://leetcode.com/problems/remove-outermost-parentheses/</x:v>
      </x:c>
      <x:c r="I90" s="15" t="str">
        <x:v>Not Started</x:v>
      </x:c>
      <x:c r="J90" s="39"/>
      <x:c r="K90" s="39"/>
      <x:c r="L90" s="39"/>
      <x:c r="M90" s="15" t="str"/>
      <x:c r="N90" s="15" t="str"/>
      <x:c r="O90" s="15" t="str"/>
      <x:c r="P90" s="15" t="str"/>
      <x:c r="Q90" s="15" t="str">
        <x:v>New Solve</x:v>
      </x:c>
    </x:row>
    <x:row r="91">
      <x:c r="A91" s="15" t="n">
        <x:v>90</x:v>
      </x:c>
      <x:c r="B91" s="39" t="n">
        <x:v>46279</x:v>
      </x:c>
      <x:c r="C91" s="15" t="str">
        <x:v>Phase 1: 1/day</x:v>
      </x:c>
      <x:c r="D91" s="15" t="str">
        <x:v>Strings</x:v>
      </x:c>
      <x:c r="E91" s="15" t="str">
        <x:v>Easy</x:v>
      </x:c>
      <x:c r="F91" s="15" t="n">
        <x:v>1221</x:v>
      </x:c>
      <x:c r="G91" s="15" t="str">
        <x:v>Split a String in Balanced Strings</x:v>
      </x:c>
      <x:c r="H91" s="15" t="str">
        <x:v>https://leetcode.com/problems/split-a-string-in-balanced-strings/</x:v>
      </x:c>
      <x:c r="I91" s="15" t="str">
        <x:v>Not Started</x:v>
      </x:c>
      <x:c r="J91" s="39"/>
      <x:c r="K91" s="39"/>
      <x:c r="L91" s="39"/>
      <x:c r="M91" s="15" t="str"/>
      <x:c r="N91" s="15" t="str"/>
      <x:c r="O91" s="15" t="str"/>
      <x:c r="P91" s="15" t="str"/>
      <x:c r="Q91" s="15" t="str">
        <x:v>New Solve</x:v>
      </x:c>
    </x:row>
    <x:row r="92">
      <x:c r="A92" s="15" t="n">
        <x:v>91</x:v>
      </x:c>
      <x:c r="B92" s="39" t="n">
        <x:v>46280</x:v>
      </x:c>
      <x:c r="C92" s="15" t="str">
        <x:v>Phase 1: 1/day</x:v>
      </x:c>
      <x:c r="D92" s="15" t="str">
        <x:v>Strings</x:v>
      </x:c>
      <x:c r="E92" s="15" t="str">
        <x:v>Easy</x:v>
      </x:c>
      <x:c r="F92" s="15" t="n">
        <x:v>1544</x:v>
      </x:c>
      <x:c r="G92" s="15" t="str">
        <x:v>Make The String Great</x:v>
      </x:c>
      <x:c r="H92" s="15" t="str">
        <x:v>https://leetcode.com/problems/make-the-string-great/</x:v>
      </x:c>
      <x:c r="I92" s="15" t="str">
        <x:v>Not Started</x:v>
      </x:c>
      <x:c r="J92" s="39"/>
      <x:c r="K92" s="39"/>
      <x:c r="L92" s="39"/>
      <x:c r="M92" s="15" t="str"/>
      <x:c r="N92" s="15" t="str"/>
      <x:c r="O92" s="15" t="str"/>
      <x:c r="P92" s="15" t="str"/>
      <x:c r="Q92" s="15" t="str">
        <x:v>New Solve</x:v>
      </x:c>
    </x:row>
    <x:row r="93">
      <x:c r="A93" s="15" t="n">
        <x:v>92</x:v>
      </x:c>
      <x:c r="B93" s="39"/>
      <x:c r="C93" s="15" t="str">
        <x:v>Already solved - revise</x:v>
      </x:c>
      <x:c r="D93" s="15" t="str">
        <x:v>Strings</x:v>
      </x:c>
      <x:c r="E93" s="15" t="str">
        <x:v>Medium</x:v>
      </x:c>
      <x:c r="F93" s="15" t="n">
        <x:v>3</x:v>
      </x:c>
      <x:c r="G93" s="15" t="str">
        <x:v>Longest Substring Without Repeating Characters</x:v>
      </x:c>
      <x:c r="H93" s="15" t="str">
        <x:v>https://leetcode.com/problems/longest-substring-without-repeating-characters/</x:v>
      </x:c>
      <x:c r="I93" s="15" t="str">
        <x:v>Done</x:v>
      </x:c>
      <x:c r="J93" s="39"/>
      <x:c r="K93" s="39"/>
      <x:c r="L93" s="39"/>
      <x:c r="M93" s="15" t="str"/>
      <x:c r="N93" s="15" t="str"/>
      <x:c r="O93" s="15" t="str"/>
      <x:c r="P93" s="15" t="str"/>
      <x:c r="Q93" s="15" t="str">
        <x:v>Revision / Confirmed</x:v>
      </x:c>
    </x:row>
    <x:row r="94">
      <x:c r="A94" s="15" t="n">
        <x:v>93</x:v>
      </x:c>
      <x:c r="B94" s="39"/>
      <x:c r="C94" s="15" t="str">
        <x:v>Already solved - revise</x:v>
      </x:c>
      <x:c r="D94" s="15" t="str">
        <x:v>Strings</x:v>
      </x:c>
      <x:c r="E94" s="15" t="str">
        <x:v>Medium</x:v>
      </x:c>
      <x:c r="F94" s="15" t="n">
        <x:v>5</x:v>
      </x:c>
      <x:c r="G94" s="15" t="str">
        <x:v>Longest Palindromic Substring</x:v>
      </x:c>
      <x:c r="H94" s="15" t="str">
        <x:v>https://leetcode.com/problems/longest-palindromic-substring/</x:v>
      </x:c>
      <x:c r="I94" s="15" t="str">
        <x:v>Done</x:v>
      </x:c>
      <x:c r="J94" s="39"/>
      <x:c r="K94" s="39"/>
      <x:c r="L94" s="39"/>
      <x:c r="M94" s="15" t="str"/>
      <x:c r="N94" s="15" t="str"/>
      <x:c r="O94" s="15" t="str"/>
      <x:c r="P94" s="15" t="str"/>
      <x:c r="Q94" s="15" t="str">
        <x:v>Revision / Confirmed</x:v>
      </x:c>
    </x:row>
    <x:row r="95">
      <x:c r="A95" s="15" t="n">
        <x:v>94</x:v>
      </x:c>
      <x:c r="B95" s="39" t="n">
        <x:v>46281</x:v>
      </x:c>
      <x:c r="C95" s="15" t="str">
        <x:v>Phase 1: 1/day</x:v>
      </x:c>
      <x:c r="D95" s="15" t="str">
        <x:v>Strings</x:v>
      </x:c>
      <x:c r="E95" s="15" t="str">
        <x:v>Medium</x:v>
      </x:c>
      <x:c r="F95" s="15" t="n">
        <x:v>6</x:v>
      </x:c>
      <x:c r="G95" s="15" t="str">
        <x:v>Zigzag Conversion</x:v>
      </x:c>
      <x:c r="H95" s="15" t="str">
        <x:v>https://leetcode.com/problems/zigzag-conversion/</x:v>
      </x:c>
      <x:c r="I95" s="15" t="str">
        <x:v>Not Started</x:v>
      </x:c>
      <x:c r="J95" s="39"/>
      <x:c r="K95" s="39"/>
      <x:c r="L95" s="39"/>
      <x:c r="M95" s="15" t="str"/>
      <x:c r="N95" s="15" t="str"/>
      <x:c r="O95" s="15" t="str"/>
      <x:c r="P95" s="15" t="str"/>
      <x:c r="Q95" s="15" t="str">
        <x:v>New Solve</x:v>
      </x:c>
    </x:row>
    <x:row r="96">
      <x:c r="A96" s="15" t="n">
        <x:v>95</x:v>
      </x:c>
      <x:c r="B96" s="39" t="n">
        <x:v>46282</x:v>
      </x:c>
      <x:c r="C96" s="15" t="str">
        <x:v>Phase 1: 1/day</x:v>
      </x:c>
      <x:c r="D96" s="15" t="str">
        <x:v>Strings</x:v>
      </x:c>
      <x:c r="E96" s="15" t="str">
        <x:v>Medium</x:v>
      </x:c>
      <x:c r="F96" s="15" t="n">
        <x:v>17</x:v>
      </x:c>
      <x:c r="G96" s="15" t="str">
        <x:v>Letter Combinations of a Phone Number</x:v>
      </x:c>
      <x:c r="H96" s="15" t="str">
        <x:v>https://leetcode.com/problems/letter-combinations-of-a-phone-number/</x:v>
      </x:c>
      <x:c r="I96" s="15" t="str">
        <x:v>Not Started</x:v>
      </x:c>
      <x:c r="J96" s="39"/>
      <x:c r="K96" s="39"/>
      <x:c r="L96" s="39"/>
      <x:c r="M96" s="15" t="str"/>
      <x:c r="N96" s="15" t="str"/>
      <x:c r="O96" s="15" t="str"/>
      <x:c r="P96" s="15" t="str"/>
      <x:c r="Q96" s="15" t="str">
        <x:v>New Solve</x:v>
      </x:c>
    </x:row>
    <x:row r="97">
      <x:c r="A97" s="15" t="n">
        <x:v>96</x:v>
      </x:c>
      <x:c r="B97" s="39" t="n">
        <x:v>46283</x:v>
      </x:c>
      <x:c r="C97" s="15" t="str">
        <x:v>Phase 1: 1/day</x:v>
      </x:c>
      <x:c r="D97" s="15" t="str">
        <x:v>Strings</x:v>
      </x:c>
      <x:c r="E97" s="15" t="str">
        <x:v>Easy</x:v>
      </x:c>
      <x:c r="F97" s="15" t="n">
        <x:v>28</x:v>
      </x:c>
      <x:c r="G97" s="15" t="str">
        <x:v>Find the Index of the First Occurrence in a String</x:v>
      </x:c>
      <x:c r="H97" s="15" t="str">
        <x:v>https://leetcode.com/problems/find-the-index-of-the-first-occurrence-in-a-string/</x:v>
      </x:c>
      <x:c r="I97" s="15" t="str">
        <x:v>Not Started</x:v>
      </x:c>
      <x:c r="J97" s="39"/>
      <x:c r="K97" s="39"/>
      <x:c r="L97" s="39"/>
      <x:c r="M97" s="15" t="str"/>
      <x:c r="N97" s="15" t="str"/>
      <x:c r="O97" s="15" t="str"/>
      <x:c r="P97" s="15" t="str"/>
      <x:c r="Q97" s="15" t="str">
        <x:v>New Solve</x:v>
      </x:c>
    </x:row>
    <x:row r="98">
      <x:c r="A98" s="15" t="n">
        <x:v>97</x:v>
      </x:c>
      <x:c r="B98" s="39" t="n">
        <x:v>46284</x:v>
      </x:c>
      <x:c r="C98" s="15" t="str">
        <x:v>Phase 1: 1/day</x:v>
      </x:c>
      <x:c r="D98" s="15" t="str">
        <x:v>Strings</x:v>
      </x:c>
      <x:c r="E98" s="15" t="str">
        <x:v>Medium</x:v>
      </x:c>
      <x:c r="F98" s="15" t="n">
        <x:v>43</x:v>
      </x:c>
      <x:c r="G98" s="15" t="str">
        <x:v>Multiply Strings</x:v>
      </x:c>
      <x:c r="H98" s="15" t="str">
        <x:v>https://leetcode.com/problems/multiply-strings/</x:v>
      </x:c>
      <x:c r="I98" s="15" t="str">
        <x:v>Not Started</x:v>
      </x:c>
      <x:c r="J98" s="39"/>
      <x:c r="K98" s="39"/>
      <x:c r="L98" s="39"/>
      <x:c r="M98" s="15" t="str"/>
      <x:c r="N98" s="15" t="str"/>
      <x:c r="O98" s="15" t="str"/>
      <x:c r="P98" s="15" t="str"/>
      <x:c r="Q98" s="15" t="str">
        <x:v>New Solve</x:v>
      </x:c>
    </x:row>
    <x:row r="99">
      <x:c r="A99" s="15" t="n">
        <x:v>98</x:v>
      </x:c>
      <x:c r="B99" s="39" t="n">
        <x:v>46285</x:v>
      </x:c>
      <x:c r="C99" s="15" t="str">
        <x:v>Phase 1: 1/day</x:v>
      </x:c>
      <x:c r="D99" s="15" t="str">
        <x:v>Strings</x:v>
      </x:c>
      <x:c r="E99" s="15" t="str">
        <x:v>Medium</x:v>
      </x:c>
      <x:c r="F99" s="15" t="n">
        <x:v>151</x:v>
      </x:c>
      <x:c r="G99" s="15" t="str">
        <x:v>Reverse Words in a String</x:v>
      </x:c>
      <x:c r="H99" s="15" t="str">
        <x:v>https://leetcode.com/problems/reverse-words-in-a-string/</x:v>
      </x:c>
      <x:c r="I99" s="15" t="str">
        <x:v>Not Started</x:v>
      </x:c>
      <x:c r="J99" s="39"/>
      <x:c r="K99" s="39"/>
      <x:c r="L99" s="39"/>
      <x:c r="M99" s="15" t="str"/>
      <x:c r="N99" s="15" t="str"/>
      <x:c r="O99" s="15" t="str"/>
      <x:c r="P99" s="15" t="str"/>
      <x:c r="Q99" s="15" t="str">
        <x:v>New Solve</x:v>
      </x:c>
    </x:row>
    <x:row r="100">
      <x:c r="A100" s="15" t="n">
        <x:v>99</x:v>
      </x:c>
      <x:c r="B100" s="39" t="n">
        <x:v>46286</x:v>
      </x:c>
      <x:c r="C100" s="15" t="str">
        <x:v>Phase 1: 1/day</x:v>
      </x:c>
      <x:c r="D100" s="15" t="str">
        <x:v>Strings</x:v>
      </x:c>
      <x:c r="E100" s="15" t="str">
        <x:v>Medium</x:v>
      </x:c>
      <x:c r="F100" s="15" t="n">
        <x:v>165</x:v>
      </x:c>
      <x:c r="G100" s="15" t="str">
        <x:v>Compare Version Numbers</x:v>
      </x:c>
      <x:c r="H100" s="15" t="str">
        <x:v>https://leetcode.com/problems/compare-version-numbers/</x:v>
      </x:c>
      <x:c r="I100" s="15" t="str">
        <x:v>Not Started</x:v>
      </x:c>
      <x:c r="J100" s="39"/>
      <x:c r="K100" s="39"/>
      <x:c r="L100" s="39"/>
      <x:c r="M100" s="15" t="str"/>
      <x:c r="N100" s="15" t="str"/>
      <x:c r="O100" s="15" t="str"/>
      <x:c r="P100" s="15" t="str"/>
      <x:c r="Q100" s="15" t="str">
        <x:v>New Solve</x:v>
      </x:c>
    </x:row>
    <x:row r="101">
      <x:c r="A101" s="15" t="n">
        <x:v>100</x:v>
      </x:c>
      <x:c r="B101" s="39" t="n">
        <x:v>46287</x:v>
      </x:c>
      <x:c r="C101" s="15" t="str">
        <x:v>Phase 1: 1/day</x:v>
      </x:c>
      <x:c r="D101" s="15" t="str">
        <x:v>Strings</x:v>
      </x:c>
      <x:c r="E101" s="15" t="str">
        <x:v>Medium</x:v>
      </x:c>
      <x:c r="F101" s="15" t="n">
        <x:v>227</x:v>
      </x:c>
      <x:c r="G101" s="15" t="str">
        <x:v>Basic Calculator II</x:v>
      </x:c>
      <x:c r="H101" s="15" t="str">
        <x:v>https://leetcode.com/problems/basic-calculator-ii/</x:v>
      </x:c>
      <x:c r="I101" s="15" t="str">
        <x:v>Not Started</x:v>
      </x:c>
      <x:c r="J101" s="39"/>
      <x:c r="K101" s="39"/>
      <x:c r="L101" s="39"/>
      <x:c r="M101" s="15" t="str"/>
      <x:c r="N101" s="15" t="str"/>
      <x:c r="O101" s="15" t="str"/>
      <x:c r="P101" s="15" t="str"/>
      <x:c r="Q101" s="15" t="str">
        <x:v>New Solve</x:v>
      </x:c>
    </x:row>
    <x:row r="102">
      <x:c r="A102" s="15" t="n">
        <x:v>101</x:v>
      </x:c>
      <x:c r="B102" s="39" t="n">
        <x:v>46288</x:v>
      </x:c>
      <x:c r="C102" s="15" t="str">
        <x:v>Phase 1: 1/day</x:v>
      </x:c>
      <x:c r="D102" s="15" t="str">
        <x:v>Strings</x:v>
      </x:c>
      <x:c r="E102" s="15" t="str">
        <x:v>Medium</x:v>
      </x:c>
      <x:c r="F102" s="15" t="n">
        <x:v>394</x:v>
      </x:c>
      <x:c r="G102" s="15" t="str">
        <x:v>Decode String</x:v>
      </x:c>
      <x:c r="H102" s="15" t="str">
        <x:v>https://leetcode.com/problems/decode-string/</x:v>
      </x:c>
      <x:c r="I102" s="15" t="str">
        <x:v>Not Started</x:v>
      </x:c>
      <x:c r="J102" s="39"/>
      <x:c r="K102" s="39"/>
      <x:c r="L102" s="39"/>
      <x:c r="M102" s="15" t="str"/>
      <x:c r="N102" s="15" t="str"/>
      <x:c r="O102" s="15" t="str"/>
      <x:c r="P102" s="15" t="str"/>
      <x:c r="Q102" s="15" t="str">
        <x:v>New Solve</x:v>
      </x:c>
    </x:row>
    <x:row r="103">
      <x:c r="A103" s="15" t="n">
        <x:v>102</x:v>
      </x:c>
      <x:c r="B103" s="39" t="n">
        <x:v>46289</x:v>
      </x:c>
      <x:c r="C103" s="15" t="str">
        <x:v>Phase 1: 1/day</x:v>
      </x:c>
      <x:c r="D103" s="15" t="str">
        <x:v>Strings</x:v>
      </x:c>
      <x:c r="E103" s="15" t="str">
        <x:v>Medium</x:v>
      </x:c>
      <x:c r="F103" s="15" t="n">
        <x:v>424</x:v>
      </x:c>
      <x:c r="G103" s="15" t="str">
        <x:v>Longest Repeating Character Replacement</x:v>
      </x:c>
      <x:c r="H103" s="15" t="str">
        <x:v>https://leetcode.com/problems/longest-repeating-character-replacement/</x:v>
      </x:c>
      <x:c r="I103" s="15" t="str">
        <x:v>Not Started</x:v>
      </x:c>
      <x:c r="J103" s="39"/>
      <x:c r="K103" s="39"/>
      <x:c r="L103" s="39"/>
      <x:c r="M103" s="15" t="str"/>
      <x:c r="N103" s="15" t="str"/>
      <x:c r="O103" s="15" t="str"/>
      <x:c r="P103" s="15" t="str"/>
      <x:c r="Q103" s="15" t="str">
        <x:v>New Solve</x:v>
      </x:c>
    </x:row>
    <x:row r="104">
      <x:c r="A104" s="15" t="n">
        <x:v>103</x:v>
      </x:c>
      <x:c r="B104" s="39" t="n">
        <x:v>46290</x:v>
      </x:c>
      <x:c r="C104" s="15" t="str">
        <x:v>Phase 1: 1/day</x:v>
      </x:c>
      <x:c r="D104" s="15" t="str">
        <x:v>Strings</x:v>
      </x:c>
      <x:c r="E104" s="15" t="str">
        <x:v>Medium</x:v>
      </x:c>
      <x:c r="F104" s="15" t="n">
        <x:v>438</x:v>
      </x:c>
      <x:c r="G104" s="15" t="str">
        <x:v>Find All Anagrams in a String</x:v>
      </x:c>
      <x:c r="H104" s="15" t="str">
        <x:v>https://leetcode.com/problems/find-all-anagrams-in-a-string/</x:v>
      </x:c>
      <x:c r="I104" s="15" t="str">
        <x:v>Not Started</x:v>
      </x:c>
      <x:c r="J104" s="39"/>
      <x:c r="K104" s="39"/>
      <x:c r="L104" s="39"/>
      <x:c r="M104" s="15" t="str"/>
      <x:c r="N104" s="15" t="str"/>
      <x:c r="O104" s="15" t="str"/>
      <x:c r="P104" s="15" t="str"/>
      <x:c r="Q104" s="15" t="str">
        <x:v>New Solve</x:v>
      </x:c>
    </x:row>
    <x:row r="105">
      <x:c r="A105" s="15" t="n">
        <x:v>104</x:v>
      </x:c>
      <x:c r="B105" s="39" t="n">
        <x:v>46291</x:v>
      </x:c>
      <x:c r="C105" s="15" t="str">
        <x:v>Phase 1: 1/day</x:v>
      </x:c>
      <x:c r="D105" s="15" t="str">
        <x:v>Strings</x:v>
      </x:c>
      <x:c r="E105" s="15" t="str">
        <x:v>Medium</x:v>
      </x:c>
      <x:c r="F105" s="15" t="n">
        <x:v>567</x:v>
      </x:c>
      <x:c r="G105" s="15" t="str">
        <x:v>Permutation in String</x:v>
      </x:c>
      <x:c r="H105" s="15" t="str">
        <x:v>https://leetcode.com/problems/permutation-in-string/</x:v>
      </x:c>
      <x:c r="I105" s="15" t="str">
        <x:v>Not Started</x:v>
      </x:c>
      <x:c r="J105" s="39"/>
      <x:c r="K105" s="39"/>
      <x:c r="L105" s="39"/>
      <x:c r="M105" s="15" t="str"/>
      <x:c r="N105" s="15" t="str"/>
      <x:c r="O105" s="15" t="str"/>
      <x:c r="P105" s="15" t="str"/>
      <x:c r="Q105" s="15" t="str">
        <x:v>New Solve</x:v>
      </x:c>
    </x:row>
    <x:row r="106">
      <x:c r="A106" s="15" t="n">
        <x:v>105</x:v>
      </x:c>
      <x:c r="B106" s="39" t="n">
        <x:v>46292</x:v>
      </x:c>
      <x:c r="C106" s="15" t="str">
        <x:v>Phase 1: 1/day</x:v>
      </x:c>
      <x:c r="D106" s="15" t="str">
        <x:v>Strings</x:v>
      </x:c>
      <x:c r="E106" s="15" t="str">
        <x:v>Medium</x:v>
      </x:c>
      <x:c r="F106" s="15" t="n">
        <x:v>647</x:v>
      </x:c>
      <x:c r="G106" s="15" t="str">
        <x:v>Palindromic Substrings</x:v>
      </x:c>
      <x:c r="H106" s="15" t="str">
        <x:v>https://leetcode.com/problems/palindromic-substrings/</x:v>
      </x:c>
      <x:c r="I106" s="15" t="str">
        <x:v>Not Started</x:v>
      </x:c>
      <x:c r="J106" s="39"/>
      <x:c r="K106" s="39"/>
      <x:c r="L106" s="39"/>
      <x:c r="M106" s="15" t="str"/>
      <x:c r="N106" s="15" t="str"/>
      <x:c r="O106" s="15" t="str"/>
      <x:c r="P106" s="15" t="str"/>
      <x:c r="Q106" s="15" t="str">
        <x:v>New Solve</x:v>
      </x:c>
    </x:row>
    <x:row r="107">
      <x:c r="A107" s="15" t="n">
        <x:v>106</x:v>
      </x:c>
      <x:c r="B107" s="39" t="n">
        <x:v>46293</x:v>
      </x:c>
      <x:c r="C107" s="15" t="str">
        <x:v>Phase 1: 1/day</x:v>
      </x:c>
      <x:c r="D107" s="15" t="str">
        <x:v>Strings</x:v>
      </x:c>
      <x:c r="E107" s="15" t="str">
        <x:v>Medium</x:v>
      </x:c>
      <x:c r="F107" s="15" t="n">
        <x:v>8</x:v>
      </x:c>
      <x:c r="G107" s="15" t="str">
        <x:v>String to Integer (atoi)</x:v>
      </x:c>
      <x:c r="H107" s="15" t="str">
        <x:v>https://leetcode.com/problems/string-to-integer-atoi/</x:v>
      </x:c>
      <x:c r="I107" s="15" t="str">
        <x:v>Not Started</x:v>
      </x:c>
      <x:c r="J107" s="39"/>
      <x:c r="K107" s="39"/>
      <x:c r="L107" s="39"/>
      <x:c r="M107" s="15" t="str"/>
      <x:c r="N107" s="15" t="str"/>
      <x:c r="O107" s="15" t="str"/>
      <x:c r="P107" s="15" t="str"/>
      <x:c r="Q107" s="15" t="str">
        <x:v>New Solve</x:v>
      </x:c>
    </x:row>
    <x:row r="108">
      <x:c r="A108" s="15" t="n">
        <x:v>107</x:v>
      </x:c>
      <x:c r="B108" s="39" t="n">
        <x:v>46294</x:v>
      </x:c>
      <x:c r="C108" s="15" t="str">
        <x:v>Phase 1: 1/day</x:v>
      </x:c>
      <x:c r="D108" s="15" t="str">
        <x:v>Strings</x:v>
      </x:c>
      <x:c r="E108" s="15" t="str">
        <x:v>Medium</x:v>
      </x:c>
      <x:c r="F108" s="15" t="n">
        <x:v>12</x:v>
      </x:c>
      <x:c r="G108" s="15" t="str">
        <x:v>Integer to Roman</x:v>
      </x:c>
      <x:c r="H108" s="15" t="str">
        <x:v>https://leetcode.com/problems/integer-to-roman/</x:v>
      </x:c>
      <x:c r="I108" s="15" t="str">
        <x:v>Not Started</x:v>
      </x:c>
      <x:c r="J108" s="39"/>
      <x:c r="K108" s="39"/>
      <x:c r="L108" s="39"/>
      <x:c r="M108" s="15" t="str"/>
      <x:c r="N108" s="15" t="str"/>
      <x:c r="O108" s="15" t="str"/>
      <x:c r="P108" s="15" t="str"/>
      <x:c r="Q108" s="15" t="str">
        <x:v>New Solve</x:v>
      </x:c>
    </x:row>
    <x:row r="109">
      <x:c r="A109" s="15" t="n">
        <x:v>108</x:v>
      </x:c>
      <x:c r="B109" s="39" t="n">
        <x:v>46295</x:v>
      </x:c>
      <x:c r="C109" s="15" t="str">
        <x:v>Phase 1: 1/day</x:v>
      </x:c>
      <x:c r="D109" s="15" t="str">
        <x:v>Strings</x:v>
      </x:c>
      <x:c r="E109" s="15" t="str">
        <x:v>Medium</x:v>
      </x:c>
      <x:c r="F109" s="15" t="n">
        <x:v>38</x:v>
      </x:c>
      <x:c r="G109" s="15" t="str">
        <x:v>Count and Say</x:v>
      </x:c>
      <x:c r="H109" s="15" t="str">
        <x:v>https://leetcode.com/problems/count-and-say/</x:v>
      </x:c>
      <x:c r="I109" s="15" t="str">
        <x:v>Not Started</x:v>
      </x:c>
      <x:c r="J109" s="39"/>
      <x:c r="K109" s="39"/>
      <x:c r="L109" s="39"/>
      <x:c r="M109" s="15" t="str"/>
      <x:c r="N109" s="15" t="str"/>
      <x:c r="O109" s="15" t="str"/>
      <x:c r="P109" s="15" t="str"/>
      <x:c r="Q109" s="15" t="str">
        <x:v>New Solve</x:v>
      </x:c>
    </x:row>
    <x:row r="110">
      <x:c r="A110" s="15" t="n">
        <x:v>109</x:v>
      </x:c>
      <x:c r="B110" s="39" t="n">
        <x:v>46296</x:v>
      </x:c>
      <x:c r="C110" s="15" t="str">
        <x:v>Phase 1: 1/day</x:v>
      </x:c>
      <x:c r="D110" s="15" t="str">
        <x:v>Strings</x:v>
      </x:c>
      <x:c r="E110" s="15" t="str">
        <x:v>Medium</x:v>
      </x:c>
      <x:c r="F110" s="15" t="n">
        <x:v>443</x:v>
      </x:c>
      <x:c r="G110" s="15" t="str">
        <x:v>String Compression</x:v>
      </x:c>
      <x:c r="H110" s="15" t="str">
        <x:v>https://leetcode.com/problems/string-compression/</x:v>
      </x:c>
      <x:c r="I110" s="15" t="str">
        <x:v>Not Started</x:v>
      </x:c>
      <x:c r="J110" s="39"/>
      <x:c r="K110" s="39"/>
      <x:c r="L110" s="39"/>
      <x:c r="M110" s="15" t="str"/>
      <x:c r="N110" s="15" t="str"/>
      <x:c r="O110" s="15" t="str"/>
      <x:c r="P110" s="15" t="str"/>
      <x:c r="Q110" s="15" t="str">
        <x:v>New Solve</x:v>
      </x:c>
    </x:row>
    <x:row r="111">
      <x:c r="A111" s="15" t="n">
        <x:v>110</x:v>
      </x:c>
      <x:c r="B111" s="39" t="n">
        <x:v>46297</x:v>
      </x:c>
      <x:c r="C111" s="15" t="str">
        <x:v>Phase 1: 1/day</x:v>
      </x:c>
      <x:c r="D111" s="15" t="str">
        <x:v>Strings</x:v>
      </x:c>
      <x:c r="E111" s="15" t="str">
        <x:v>Medium</x:v>
      </x:c>
      <x:c r="F111" s="15" t="n">
        <x:v>451</x:v>
      </x:c>
      <x:c r="G111" s="15" t="str">
        <x:v>Sort Characters By Frequency</x:v>
      </x:c>
      <x:c r="H111" s="15" t="str">
        <x:v>https://leetcode.com/problems/sort-characters-by-frequency/</x:v>
      </x:c>
      <x:c r="I111" s="15" t="str">
        <x:v>Not Started</x:v>
      </x:c>
      <x:c r="J111" s="39"/>
      <x:c r="K111" s="39"/>
      <x:c r="L111" s="39"/>
      <x:c r="M111" s="15" t="str"/>
      <x:c r="N111" s="15" t="str"/>
      <x:c r="O111" s="15" t="str"/>
      <x:c r="P111" s="15" t="str"/>
      <x:c r="Q111" s="15" t="str">
        <x:v>New Solve</x:v>
      </x:c>
    </x:row>
    <x:row r="112">
      <x:c r="A112" s="15" t="n">
        <x:v>111</x:v>
      </x:c>
      <x:c r="B112" s="39" t="n">
        <x:v>46298</x:v>
      </x:c>
      <x:c r="C112" s="15" t="str">
        <x:v>Phase 1: 1/day</x:v>
      </x:c>
      <x:c r="D112" s="15" t="str">
        <x:v>Strings</x:v>
      </x:c>
      <x:c r="E112" s="15" t="str">
        <x:v>Medium</x:v>
      </x:c>
      <x:c r="F112" s="15" t="n">
        <x:v>767</x:v>
      </x:c>
      <x:c r="G112" s="15" t="str">
        <x:v>Reorganize String</x:v>
      </x:c>
      <x:c r="H112" s="15" t="str">
        <x:v>https://leetcode.com/problems/reorganize-string/</x:v>
      </x:c>
      <x:c r="I112" s="15" t="str">
        <x:v>Not Started</x:v>
      </x:c>
      <x:c r="J112" s="39"/>
      <x:c r="K112" s="39"/>
      <x:c r="L112" s="39"/>
      <x:c r="M112" s="15" t="str"/>
      <x:c r="N112" s="15" t="str"/>
      <x:c r="O112" s="15" t="str"/>
      <x:c r="P112" s="15" t="str"/>
      <x:c r="Q112" s="15" t="str">
        <x:v>New Solve</x:v>
      </x:c>
    </x:row>
    <x:row r="113">
      <x:c r="A113" s="15" t="n">
        <x:v>112</x:v>
      </x:c>
      <x:c r="B113" s="39" t="n">
        <x:v>46299</x:v>
      </x:c>
      <x:c r="C113" s="15" t="str">
        <x:v>Phase 1: 1/day</x:v>
      </x:c>
      <x:c r="D113" s="15" t="str">
        <x:v>Strings</x:v>
      </x:c>
      <x:c r="E113" s="15" t="str">
        <x:v>Medium</x:v>
      </x:c>
      <x:c r="F113" s="15" t="n">
        <x:v>791</x:v>
      </x:c>
      <x:c r="G113" s="15" t="str">
        <x:v>Custom Sort String</x:v>
      </x:c>
      <x:c r="H113" s="15" t="str">
        <x:v>https://leetcode.com/problems/custom-sort-string/</x:v>
      </x:c>
      <x:c r="I113" s="15" t="str">
        <x:v>Not Started</x:v>
      </x:c>
      <x:c r="J113" s="39"/>
      <x:c r="K113" s="39"/>
      <x:c r="L113" s="39"/>
      <x:c r="M113" s="15" t="str"/>
      <x:c r="N113" s="15" t="str"/>
      <x:c r="O113" s="15" t="str"/>
      <x:c r="P113" s="15" t="str"/>
      <x:c r="Q113" s="15" t="str">
        <x:v>New Solve</x:v>
      </x:c>
    </x:row>
    <x:row r="114">
      <x:c r="A114" s="15" t="n">
        <x:v>113</x:v>
      </x:c>
      <x:c r="B114" s="39" t="n">
        <x:v>46300</x:v>
      </x:c>
      <x:c r="C114" s="15" t="str">
        <x:v>Phase 1: 1/day</x:v>
      </x:c>
      <x:c r="D114" s="15" t="str">
        <x:v>Strings</x:v>
      </x:c>
      <x:c r="E114" s="15" t="str">
        <x:v>Easy</x:v>
      </x:c>
      <x:c r="F114" s="15" t="n">
        <x:v>844</x:v>
      </x:c>
      <x:c r="G114" s="15" t="str">
        <x:v>Backspace String Compare</x:v>
      </x:c>
      <x:c r="H114" s="15" t="str">
        <x:v>https://leetcode.com/problems/backspace-string-compare/</x:v>
      </x:c>
      <x:c r="I114" s="15" t="str">
        <x:v>Not Started</x:v>
      </x:c>
      <x:c r="J114" s="39"/>
      <x:c r="K114" s="39"/>
      <x:c r="L114" s="39"/>
      <x:c r="M114" s="15" t="str"/>
      <x:c r="N114" s="15" t="str"/>
      <x:c r="O114" s="15" t="str"/>
      <x:c r="P114" s="15" t="str"/>
      <x:c r="Q114" s="15" t="str">
        <x:v>New Solve</x:v>
      </x:c>
    </x:row>
    <x:row r="115">
      <x:c r="A115" s="15" t="n">
        <x:v>114</x:v>
      </x:c>
      <x:c r="B115" s="39" t="n">
        <x:v>46301</x:v>
      </x:c>
      <x:c r="C115" s="15" t="str">
        <x:v>Phase 1: 1/day</x:v>
      </x:c>
      <x:c r="D115" s="15" t="str">
        <x:v>Strings</x:v>
      </x:c>
      <x:c r="E115" s="15" t="str">
        <x:v>Hard</x:v>
      </x:c>
      <x:c r="F115" s="15" t="n">
        <x:v>76</x:v>
      </x:c>
      <x:c r="G115" s="15" t="str">
        <x:v>Minimum Window Substring</x:v>
      </x:c>
      <x:c r="H115" s="15" t="str">
        <x:v>https://leetcode.com/problems/minimum-window-substring/</x:v>
      </x:c>
      <x:c r="I115" s="15" t="str">
        <x:v>Not Started</x:v>
      </x:c>
      <x:c r="J115" s="39"/>
      <x:c r="K115" s="39"/>
      <x:c r="L115" s="39"/>
      <x:c r="M115" s="15" t="str"/>
      <x:c r="N115" s="15" t="str"/>
      <x:c r="O115" s="15" t="str"/>
      <x:c r="P115" s="15" t="str"/>
      <x:c r="Q115" s="15" t="str">
        <x:v>New Solve</x:v>
      </x:c>
    </x:row>
    <x:row r="116">
      <x:c r="A116" s="15" t="n">
        <x:v>115</x:v>
      </x:c>
      <x:c r="B116" s="39" t="n">
        <x:v>46302</x:v>
      </x:c>
      <x:c r="C116" s="15" t="str">
        <x:v>Phase 1: 1/day</x:v>
      </x:c>
      <x:c r="D116" s="15" t="str">
        <x:v>Strings</x:v>
      </x:c>
      <x:c r="E116" s="15" t="str">
        <x:v>Hard</x:v>
      </x:c>
      <x:c r="F116" s="15" t="n">
        <x:v>30</x:v>
      </x:c>
      <x:c r="G116" s="15" t="str">
        <x:v>Substring with Concatenation of All Words</x:v>
      </x:c>
      <x:c r="H116" s="15" t="str">
        <x:v>https://leetcode.com/problems/substring-with-concatenation-of-all-words/</x:v>
      </x:c>
      <x:c r="I116" s="15" t="str">
        <x:v>Not Started</x:v>
      </x:c>
      <x:c r="J116" s="39"/>
      <x:c r="K116" s="39"/>
      <x:c r="L116" s="39"/>
      <x:c r="M116" s="15" t="str"/>
      <x:c r="N116" s="15" t="str"/>
      <x:c r="O116" s="15" t="str"/>
      <x:c r="P116" s="15" t="str"/>
      <x:c r="Q116" s="15" t="str">
        <x:v>New Solve</x:v>
      </x:c>
    </x:row>
    <x:row r="117">
      <x:c r="A117" s="15" t="n">
        <x:v>116</x:v>
      </x:c>
      <x:c r="B117" s="39"/>
      <x:c r="C117" s="15" t="str">
        <x:v>Already solved - revise</x:v>
      </x:c>
      <x:c r="D117" s="15" t="str">
        <x:v>Linked List</x:v>
      </x:c>
      <x:c r="E117" s="15" t="str">
        <x:v>Easy</x:v>
      </x:c>
      <x:c r="F117" s="15" t="n">
        <x:v>21</x:v>
      </x:c>
      <x:c r="G117" s="15" t="str">
        <x:v>Merge Two Sorted Lists</x:v>
      </x:c>
      <x:c r="H117" s="15" t="str">
        <x:v>https://leetcode.com/problems/merge-two-sorted-lists/</x:v>
      </x:c>
      <x:c r="I117" s="15" t="str">
        <x:v>Done</x:v>
      </x:c>
      <x:c r="J117" s="39"/>
      <x:c r="K117" s="39"/>
      <x:c r="L117" s="39"/>
      <x:c r="M117" s="15" t="str"/>
      <x:c r="N117" s="15" t="str"/>
      <x:c r="O117" s="15" t="str"/>
      <x:c r="P117" s="15" t="str"/>
      <x:c r="Q117" s="15" t="str">
        <x:v>Revision / Confirmed</x:v>
      </x:c>
    </x:row>
    <x:row r="118">
      <x:c r="A118" s="15" t="n">
        <x:v>117</x:v>
      </x:c>
      <x:c r="B118" s="39" t="n">
        <x:v>46303</x:v>
      </x:c>
      <x:c r="C118" s="15" t="str">
        <x:v>Phase 1: 1/day</x:v>
      </x:c>
      <x:c r="D118" s="15" t="str">
        <x:v>Linked List</x:v>
      </x:c>
      <x:c r="E118" s="15" t="str">
        <x:v>Easy</x:v>
      </x:c>
      <x:c r="F118" s="15" t="n">
        <x:v>83</x:v>
      </x:c>
      <x:c r="G118" s="15" t="str">
        <x:v>Remove Duplicates from Sorted List</x:v>
      </x:c>
      <x:c r="H118" s="15" t="str">
        <x:v>https://leetcode.com/problems/remove-duplicates-from-sorted-list/</x:v>
      </x:c>
      <x:c r="I118" s="15" t="str">
        <x:v>Not Started</x:v>
      </x:c>
      <x:c r="J118" s="39"/>
      <x:c r="K118" s="39"/>
      <x:c r="L118" s="39"/>
      <x:c r="M118" s="15" t="str"/>
      <x:c r="N118" s="15" t="str"/>
      <x:c r="O118" s="15" t="str"/>
      <x:c r="P118" s="15" t="str"/>
      <x:c r="Q118" s="15" t="str">
        <x:v>New Solve</x:v>
      </x:c>
    </x:row>
    <x:row r="119">
      <x:c r="A119" s="15" t="n">
        <x:v>118</x:v>
      </x:c>
      <x:c r="B119" s="39"/>
      <x:c r="C119" s="15" t="str">
        <x:v>Already solved - revise</x:v>
      </x:c>
      <x:c r="D119" s="15" t="str">
        <x:v>Linked List</x:v>
      </x:c>
      <x:c r="E119" s="15" t="str">
        <x:v>Easy</x:v>
      </x:c>
      <x:c r="F119" s="15" t="n">
        <x:v>141</x:v>
      </x:c>
      <x:c r="G119" s="15" t="str">
        <x:v>Linked List Cycle</x:v>
      </x:c>
      <x:c r="H119" s="15" t="str">
        <x:v>https://leetcode.com/problems/linked-list-cycle/</x:v>
      </x:c>
      <x:c r="I119" s="15" t="str">
        <x:v>Done</x:v>
      </x:c>
      <x:c r="J119" s="39"/>
      <x:c r="K119" s="39"/>
      <x:c r="L119" s="39"/>
      <x:c r="M119" s="15" t="str"/>
      <x:c r="N119" s="15" t="str"/>
      <x:c r="O119" s="15" t="str"/>
      <x:c r="P119" s="15" t="str"/>
      <x:c r="Q119" s="15" t="str">
        <x:v>Revision / Confirmed</x:v>
      </x:c>
    </x:row>
    <x:row r="120">
      <x:c r="A120" s="15" t="n">
        <x:v>119</x:v>
      </x:c>
      <x:c r="B120" s="39"/>
      <x:c r="C120" s="15" t="str">
        <x:v>Already solved - revise</x:v>
      </x:c>
      <x:c r="D120" s="15" t="str">
        <x:v>Linked List</x:v>
      </x:c>
      <x:c r="E120" s="15" t="str">
        <x:v>Easy</x:v>
      </x:c>
      <x:c r="F120" s="15" t="n">
        <x:v>160</x:v>
      </x:c>
      <x:c r="G120" s="15" t="str">
        <x:v>Intersection of Two Linked Lists</x:v>
      </x:c>
      <x:c r="H120" s="15" t="str">
        <x:v>https://leetcode.com/problems/intersection-of-two-linked-lists/</x:v>
      </x:c>
      <x:c r="I120" s="15" t="str">
        <x:v>Done</x:v>
      </x:c>
      <x:c r="J120" s="39"/>
      <x:c r="K120" s="39"/>
      <x:c r="L120" s="39"/>
      <x:c r="M120" s="15" t="str"/>
      <x:c r="N120" s="15" t="str"/>
      <x:c r="O120" s="15" t="str"/>
      <x:c r="P120" s="15" t="str"/>
      <x:c r="Q120" s="15" t="str">
        <x:v>Revision / Confirmed</x:v>
      </x:c>
    </x:row>
    <x:row r="121">
      <x:c r="A121" s="15" t="n">
        <x:v>120</x:v>
      </x:c>
      <x:c r="B121" s="39"/>
      <x:c r="C121" s="15" t="str">
        <x:v>Already solved - revise</x:v>
      </x:c>
      <x:c r="D121" s="15" t="str">
        <x:v>Linked List</x:v>
      </x:c>
      <x:c r="E121" s="15" t="str">
        <x:v>Easy</x:v>
      </x:c>
      <x:c r="F121" s="15" t="n">
        <x:v>203</x:v>
      </x:c>
      <x:c r="G121" s="15" t="str">
        <x:v>Remove Linked List Elements</x:v>
      </x:c>
      <x:c r="H121" s="15" t="str">
        <x:v>https://leetcode.com/problems/remove-linked-list-elements/</x:v>
      </x:c>
      <x:c r="I121" s="15" t="str">
        <x:v>Done</x:v>
      </x:c>
      <x:c r="J121" s="39"/>
      <x:c r="K121" s="39"/>
      <x:c r="L121" s="39"/>
      <x:c r="M121" s="15" t="str"/>
      <x:c r="N121" s="15" t="str"/>
      <x:c r="O121" s="15" t="str"/>
      <x:c r="P121" s="15" t="str"/>
      <x:c r="Q121" s="15" t="str">
        <x:v>Revision / Confirmed</x:v>
      </x:c>
    </x:row>
    <x:row r="122">
      <x:c r="A122" s="15" t="n">
        <x:v>121</x:v>
      </x:c>
      <x:c r="B122" s="39"/>
      <x:c r="C122" s="15" t="str">
        <x:v>Already solved - revise</x:v>
      </x:c>
      <x:c r="D122" s="15" t="str">
        <x:v>Linked List</x:v>
      </x:c>
      <x:c r="E122" s="15" t="str">
        <x:v>Easy</x:v>
      </x:c>
      <x:c r="F122" s="15" t="n">
        <x:v>206</x:v>
      </x:c>
      <x:c r="G122" s="15" t="str">
        <x:v>Reverse Linked List</x:v>
      </x:c>
      <x:c r="H122" s="15" t="str">
        <x:v>https://leetcode.com/problems/reverse-linked-list/</x:v>
      </x:c>
      <x:c r="I122" s="15" t="str">
        <x:v>Done</x:v>
      </x:c>
      <x:c r="J122" s="39"/>
      <x:c r="K122" s="39"/>
      <x:c r="L122" s="39"/>
      <x:c r="M122" s="15" t="str"/>
      <x:c r="N122" s="15" t="str"/>
      <x:c r="O122" s="15" t="str"/>
      <x:c r="P122" s="15" t="str"/>
      <x:c r="Q122" s="15" t="str">
        <x:v>Revision / Confirmed</x:v>
      </x:c>
    </x:row>
    <x:row r="123">
      <x:c r="A123" s="15" t="n">
        <x:v>122</x:v>
      </x:c>
      <x:c r="B123" s="39"/>
      <x:c r="C123" s="15" t="str">
        <x:v>Already solved - revise</x:v>
      </x:c>
      <x:c r="D123" s="15" t="str">
        <x:v>Linked List</x:v>
      </x:c>
      <x:c r="E123" s="15" t="str">
        <x:v>Easy</x:v>
      </x:c>
      <x:c r="F123" s="15" t="n">
        <x:v>234</x:v>
      </x:c>
      <x:c r="G123" s="15" t="str">
        <x:v>Palindrome Linked List</x:v>
      </x:c>
      <x:c r="H123" s="15" t="str">
        <x:v>https://leetcode.com/problems/palindrome-linked-list/</x:v>
      </x:c>
      <x:c r="I123" s="15" t="str">
        <x:v>Done</x:v>
      </x:c>
      <x:c r="J123" s="39"/>
      <x:c r="K123" s="39"/>
      <x:c r="L123" s="39"/>
      <x:c r="M123" s="15" t="str"/>
      <x:c r="N123" s="15" t="str"/>
      <x:c r="O123" s="15" t="str"/>
      <x:c r="P123" s="15" t="str"/>
      <x:c r="Q123" s="15" t="str">
        <x:v>Revision / Confirmed</x:v>
      </x:c>
    </x:row>
    <x:row r="124">
      <x:c r="A124" s="15" t="n">
        <x:v>123</x:v>
      </x:c>
      <x:c r="B124" s="39"/>
      <x:c r="C124" s="15" t="str">
        <x:v>Already solved - revise</x:v>
      </x:c>
      <x:c r="D124" s="15" t="str">
        <x:v>Linked List</x:v>
      </x:c>
      <x:c r="E124" s="15" t="str">
        <x:v>Easy</x:v>
      </x:c>
      <x:c r="F124" s="15" t="n">
        <x:v>876</x:v>
      </x:c>
      <x:c r="G124" s="15" t="str">
        <x:v>Middle of the Linked List</x:v>
      </x:c>
      <x:c r="H124" s="15" t="str">
        <x:v>https://leetcode.com/problems/middle-of-the-linked-list/</x:v>
      </x:c>
      <x:c r="I124" s="15" t="str">
        <x:v>Done</x:v>
      </x:c>
      <x:c r="J124" s="39"/>
      <x:c r="K124" s="39"/>
      <x:c r="L124" s="39"/>
      <x:c r="M124" s="15" t="str"/>
      <x:c r="N124" s="15" t="str"/>
      <x:c r="O124" s="15" t="str"/>
      <x:c r="P124" s="15" t="str"/>
      <x:c r="Q124" s="15" t="str">
        <x:v>Revision / Confirmed</x:v>
      </x:c>
    </x:row>
    <x:row r="125">
      <x:c r="A125" s="15" t="n">
        <x:v>124</x:v>
      </x:c>
      <x:c r="B125" s="39"/>
      <x:c r="C125" s="15" t="str">
        <x:v>Already solved - revise</x:v>
      </x:c>
      <x:c r="D125" s="15" t="str">
        <x:v>Linked List</x:v>
      </x:c>
      <x:c r="E125" s="15" t="str">
        <x:v>Medium</x:v>
      </x:c>
      <x:c r="F125" s="15" t="n">
        <x:v>2</x:v>
      </x:c>
      <x:c r="G125" s="15" t="str">
        <x:v>Add Two Numbers</x:v>
      </x:c>
      <x:c r="H125" s="15" t="str">
        <x:v>https://leetcode.com/problems/add-two-numbers/</x:v>
      </x:c>
      <x:c r="I125" s="15" t="str">
        <x:v>Done</x:v>
      </x:c>
      <x:c r="J125" s="39"/>
      <x:c r="K125" s="39"/>
      <x:c r="L125" s="39"/>
      <x:c r="M125" s="15" t="str"/>
      <x:c r="N125" s="15" t="str"/>
      <x:c r="O125" s="15" t="str"/>
      <x:c r="P125" s="15" t="str"/>
      <x:c r="Q125" s="15" t="str">
        <x:v>Revision / Confirmed</x:v>
      </x:c>
    </x:row>
    <x:row r="126">
      <x:c r="A126" s="15" t="n">
        <x:v>125</x:v>
      </x:c>
      <x:c r="B126" s="39"/>
      <x:c r="C126" s="15" t="str">
        <x:v>Already solved - revise</x:v>
      </x:c>
      <x:c r="D126" s="15" t="str">
        <x:v>Linked List</x:v>
      </x:c>
      <x:c r="E126" s="15" t="str">
        <x:v>Medium</x:v>
      </x:c>
      <x:c r="F126" s="15" t="n">
        <x:v>19</x:v>
      </x:c>
      <x:c r="G126" s="15" t="str">
        <x:v>Remove Nth Node From End of List</x:v>
      </x:c>
      <x:c r="H126" s="15" t="str">
        <x:v>https://leetcode.com/problems/remove-nth-node-from-end-of-list/</x:v>
      </x:c>
      <x:c r="I126" s="15" t="str">
        <x:v>Done</x:v>
      </x:c>
      <x:c r="J126" s="39"/>
      <x:c r="K126" s="39"/>
      <x:c r="L126" s="39"/>
      <x:c r="M126" s="15" t="str"/>
      <x:c r="N126" s="15" t="str"/>
      <x:c r="O126" s="15" t="str"/>
      <x:c r="P126" s="15" t="str"/>
      <x:c r="Q126" s="15" t="str">
        <x:v>Revision / Confirmed</x:v>
      </x:c>
    </x:row>
    <x:row r="127">
      <x:c r="A127" s="15" t="n">
        <x:v>126</x:v>
      </x:c>
      <x:c r="B127" s="39" t="n">
        <x:v>46304</x:v>
      </x:c>
      <x:c r="C127" s="15" t="str">
        <x:v>Phase 1: 1/day</x:v>
      </x:c>
      <x:c r="D127" s="15" t="str">
        <x:v>Linked List</x:v>
      </x:c>
      <x:c r="E127" s="15" t="str">
        <x:v>Medium</x:v>
      </x:c>
      <x:c r="F127" s="15" t="n">
        <x:v>24</x:v>
      </x:c>
      <x:c r="G127" s="15" t="str">
        <x:v>Swap Nodes in Pairs</x:v>
      </x:c>
      <x:c r="H127" s="15" t="str">
        <x:v>https://leetcode.com/problems/swap-nodes-in-pairs/</x:v>
      </x:c>
      <x:c r="I127" s="15" t="str">
        <x:v>Not Started</x:v>
      </x:c>
      <x:c r="J127" s="39"/>
      <x:c r="K127" s="39"/>
      <x:c r="L127" s="39"/>
      <x:c r="M127" s="15" t="str"/>
      <x:c r="N127" s="15" t="str"/>
      <x:c r="O127" s="15" t="str"/>
      <x:c r="P127" s="15" t="str"/>
      <x:c r="Q127" s="15" t="str">
        <x:v>New Solve</x:v>
      </x:c>
    </x:row>
    <x:row r="128">
      <x:c r="A128" s="15" t="n">
        <x:v>127</x:v>
      </x:c>
      <x:c r="B128" s="39" t="n">
        <x:v>46305</x:v>
      </x:c>
      <x:c r="C128" s="15" t="str">
        <x:v>Phase 1: 1/day</x:v>
      </x:c>
      <x:c r="D128" s="15" t="str">
        <x:v>Linked List</x:v>
      </x:c>
      <x:c r="E128" s="15" t="str">
        <x:v>Medium</x:v>
      </x:c>
      <x:c r="F128" s="15" t="n">
        <x:v>61</x:v>
      </x:c>
      <x:c r="G128" s="15" t="str">
        <x:v>Rotate List</x:v>
      </x:c>
      <x:c r="H128" s="15" t="str">
        <x:v>https://leetcode.com/problems/rotate-list/</x:v>
      </x:c>
      <x:c r="I128" s="15" t="str">
        <x:v>Not Started</x:v>
      </x:c>
      <x:c r="J128" s="39"/>
      <x:c r="K128" s="39"/>
      <x:c r="L128" s="39"/>
      <x:c r="M128" s="15" t="str"/>
      <x:c r="N128" s="15" t="str"/>
      <x:c r="O128" s="15" t="str"/>
      <x:c r="P128" s="15" t="str"/>
      <x:c r="Q128" s="15" t="str">
        <x:v>New Solve</x:v>
      </x:c>
    </x:row>
    <x:row r="129">
      <x:c r="A129" s="15" t="n">
        <x:v>128</x:v>
      </x:c>
      <x:c r="B129" s="39" t="n">
        <x:v>46306</x:v>
      </x:c>
      <x:c r="C129" s="15" t="str">
        <x:v>Phase 1: 1/day</x:v>
      </x:c>
      <x:c r="D129" s="15" t="str">
        <x:v>Linked List</x:v>
      </x:c>
      <x:c r="E129" s="15" t="str">
        <x:v>Medium</x:v>
      </x:c>
      <x:c r="F129" s="15" t="n">
        <x:v>82</x:v>
      </x:c>
      <x:c r="G129" s="15" t="str">
        <x:v>Remove Duplicates from Sorted List II</x:v>
      </x:c>
      <x:c r="H129" s="15" t="str">
        <x:v>https://leetcode.com/problems/remove-duplicates-from-sorted-list-ii/</x:v>
      </x:c>
      <x:c r="I129" s="15" t="str">
        <x:v>Not Started</x:v>
      </x:c>
      <x:c r="J129" s="39"/>
      <x:c r="K129" s="39"/>
      <x:c r="L129" s="39"/>
      <x:c r="M129" s="15" t="str"/>
      <x:c r="N129" s="15" t="str"/>
      <x:c r="O129" s="15" t="str"/>
      <x:c r="P129" s="15" t="str"/>
      <x:c r="Q129" s="15" t="str">
        <x:v>New Solve</x:v>
      </x:c>
    </x:row>
    <x:row r="130">
      <x:c r="A130" s="15" t="n">
        <x:v>129</x:v>
      </x:c>
      <x:c r="B130" s="39" t="n">
        <x:v>46307</x:v>
      </x:c>
      <x:c r="C130" s="15" t="str">
        <x:v>Phase 1: 1/day</x:v>
      </x:c>
      <x:c r="D130" s="15" t="str">
        <x:v>Linked List</x:v>
      </x:c>
      <x:c r="E130" s="15" t="str">
        <x:v>Medium</x:v>
      </x:c>
      <x:c r="F130" s="15" t="n">
        <x:v>86</x:v>
      </x:c>
      <x:c r="G130" s="15" t="str">
        <x:v>Partition List</x:v>
      </x:c>
      <x:c r="H130" s="15" t="str">
        <x:v>https://leetcode.com/problems/partition-list/</x:v>
      </x:c>
      <x:c r="I130" s="15" t="str">
        <x:v>Not Started</x:v>
      </x:c>
      <x:c r="J130" s="39"/>
      <x:c r="K130" s="39"/>
      <x:c r="L130" s="39"/>
      <x:c r="M130" s="15" t="str"/>
      <x:c r="N130" s="15" t="str"/>
      <x:c r="O130" s="15" t="str"/>
      <x:c r="P130" s="15" t="str"/>
      <x:c r="Q130" s="15" t="str">
        <x:v>New Solve</x:v>
      </x:c>
    </x:row>
    <x:row r="131">
      <x:c r="A131" s="15" t="n">
        <x:v>130</x:v>
      </x:c>
      <x:c r="B131" s="39" t="n">
        <x:v>46308</x:v>
      </x:c>
      <x:c r="C131" s="15" t="str">
        <x:v>Phase 1: 1/day</x:v>
      </x:c>
      <x:c r="D131" s="15" t="str">
        <x:v>Linked List</x:v>
      </x:c>
      <x:c r="E131" s="15" t="str">
        <x:v>Medium</x:v>
      </x:c>
      <x:c r="F131" s="15" t="n">
        <x:v>92</x:v>
      </x:c>
      <x:c r="G131" s="15" t="str">
        <x:v>Reverse Linked List II</x:v>
      </x:c>
      <x:c r="H131" s="15" t="str">
        <x:v>https://leetcode.com/problems/reverse-linked-list-ii/</x:v>
      </x:c>
      <x:c r="I131" s="15" t="str">
        <x:v>Not Started</x:v>
      </x:c>
      <x:c r="J131" s="39"/>
      <x:c r="K131" s="39"/>
      <x:c r="L131" s="39"/>
      <x:c r="M131" s="15" t="str"/>
      <x:c r="N131" s="15" t="str"/>
      <x:c r="O131" s="15" t="str"/>
      <x:c r="P131" s="15" t="str"/>
      <x:c r="Q131" s="15" t="str">
        <x:v>New Solve</x:v>
      </x:c>
    </x:row>
    <x:row r="132">
      <x:c r="A132" s="15" t="n">
        <x:v>131</x:v>
      </x:c>
      <x:c r="B132" s="39" t="n">
        <x:v>46309</x:v>
      </x:c>
      <x:c r="C132" s="15" t="str">
        <x:v>Phase 1: 1/day</x:v>
      </x:c>
      <x:c r="D132" s="15" t="str">
        <x:v>Linked List</x:v>
      </x:c>
      <x:c r="E132" s="15" t="str">
        <x:v>Medium</x:v>
      </x:c>
      <x:c r="F132" s="15" t="n">
        <x:v>138</x:v>
      </x:c>
      <x:c r="G132" s="15" t="str">
        <x:v>Copy List with Random Pointer</x:v>
      </x:c>
      <x:c r="H132" s="15" t="str">
        <x:v>https://leetcode.com/problems/copy-list-with-random-pointer/</x:v>
      </x:c>
      <x:c r="I132" s="15" t="str">
        <x:v>Not Started</x:v>
      </x:c>
      <x:c r="J132" s="39"/>
      <x:c r="K132" s="39"/>
      <x:c r="L132" s="39"/>
      <x:c r="M132" s="15" t="str"/>
      <x:c r="N132" s="15" t="str"/>
      <x:c r="O132" s="15" t="str"/>
      <x:c r="P132" s="15" t="str"/>
      <x:c r="Q132" s="15" t="str">
        <x:v>New Solve</x:v>
      </x:c>
    </x:row>
    <x:row r="133">
      <x:c r="A133" s="15" t="n">
        <x:v>132</x:v>
      </x:c>
      <x:c r="B133" s="39"/>
      <x:c r="C133" s="15" t="str">
        <x:v>Already solved - revise</x:v>
      </x:c>
      <x:c r="D133" s="15" t="str">
        <x:v>Linked List</x:v>
      </x:c>
      <x:c r="E133" s="15" t="str">
        <x:v>Medium</x:v>
      </x:c>
      <x:c r="F133" s="15" t="n">
        <x:v>142</x:v>
      </x:c>
      <x:c r="G133" s="15" t="str">
        <x:v>Linked List Cycle II</x:v>
      </x:c>
      <x:c r="H133" s="15" t="str">
        <x:v>https://leetcode.com/problems/linked-list-cycle-ii/</x:v>
      </x:c>
      <x:c r="I133" s="15" t="str">
        <x:v>Done</x:v>
      </x:c>
      <x:c r="J133" s="39"/>
      <x:c r="K133" s="39"/>
      <x:c r="L133" s="39"/>
      <x:c r="M133" s="15" t="str"/>
      <x:c r="N133" s="15" t="str"/>
      <x:c r="O133" s="15" t="str"/>
      <x:c r="P133" s="15" t="str"/>
      <x:c r="Q133" s="15" t="str">
        <x:v>Revision / Confirmed</x:v>
      </x:c>
    </x:row>
    <x:row r="134">
      <x:c r="A134" s="15" t="n">
        <x:v>133</x:v>
      </x:c>
      <x:c r="B134" s="39"/>
      <x:c r="C134" s="15" t="str">
        <x:v>Already solved - revise</x:v>
      </x:c>
      <x:c r="D134" s="15" t="str">
        <x:v>Linked List</x:v>
      </x:c>
      <x:c r="E134" s="15" t="str">
        <x:v>Medium</x:v>
      </x:c>
      <x:c r="F134" s="15" t="n">
        <x:v>143</x:v>
      </x:c>
      <x:c r="G134" s="15" t="str">
        <x:v>Reorder List</x:v>
      </x:c>
      <x:c r="H134" s="15" t="str">
        <x:v>https://leetcode.com/problems/reorder-list/</x:v>
      </x:c>
      <x:c r="I134" s="15" t="str">
        <x:v>Done</x:v>
      </x:c>
      <x:c r="J134" s="39"/>
      <x:c r="K134" s="39"/>
      <x:c r="L134" s="39"/>
      <x:c r="M134" s="15" t="str"/>
      <x:c r="N134" s="15" t="str"/>
      <x:c r="O134" s="15" t="str"/>
      <x:c r="P134" s="15" t="str"/>
      <x:c r="Q134" s="15" t="str">
        <x:v>Revision / Confirmed</x:v>
      </x:c>
    </x:row>
    <x:row r="135">
      <x:c r="A135" s="15" t="n">
        <x:v>134</x:v>
      </x:c>
      <x:c r="B135" s="39" t="n">
        <x:v>46310</x:v>
      </x:c>
      <x:c r="C135" s="15" t="str">
        <x:v>Phase 2: 2/day</x:v>
      </x:c>
      <x:c r="D135" s="15" t="str">
        <x:v>Linked List</x:v>
      </x:c>
      <x:c r="E135" s="15" t="str">
        <x:v>Medium</x:v>
      </x:c>
      <x:c r="F135" s="15" t="n">
        <x:v>146</x:v>
      </x:c>
      <x:c r="G135" s="15" t="str">
        <x:v>LRU Cache</x:v>
      </x:c>
      <x:c r="H135" s="15" t="str">
        <x:v>https://leetcode.com/problems/lru-cache/</x:v>
      </x:c>
      <x:c r="I135" s="15" t="str">
        <x:v>Not Started</x:v>
      </x:c>
      <x:c r="J135" s="39"/>
      <x:c r="K135" s="39"/>
      <x:c r="L135" s="39"/>
      <x:c r="M135" s="15" t="str"/>
      <x:c r="N135" s="15" t="str"/>
      <x:c r="O135" s="15" t="str"/>
      <x:c r="P135" s="15" t="str"/>
      <x:c r="Q135" s="15" t="str">
        <x:v>New Solve</x:v>
      </x:c>
    </x:row>
    <x:row r="136">
      <x:c r="A136" s="15" t="n">
        <x:v>135</x:v>
      </x:c>
      <x:c r="B136" s="39" t="n">
        <x:v>46310</x:v>
      </x:c>
      <x:c r="C136" s="15" t="str">
        <x:v>Phase 2: 2/day</x:v>
      </x:c>
      <x:c r="D136" s="15" t="str">
        <x:v>Linked List</x:v>
      </x:c>
      <x:c r="E136" s="15" t="str">
        <x:v>Medium</x:v>
      </x:c>
      <x:c r="F136" s="15" t="n">
        <x:v>147</x:v>
      </x:c>
      <x:c r="G136" s="15" t="str">
        <x:v>Insertion Sort List</x:v>
      </x:c>
      <x:c r="H136" s="15" t="str">
        <x:v>https://leetcode.com/problems/insertion-sort-list/</x:v>
      </x:c>
      <x:c r="I136" s="15" t="str">
        <x:v>Not Started</x:v>
      </x:c>
      <x:c r="J136" s="39"/>
      <x:c r="K136" s="39"/>
      <x:c r="L136" s="39"/>
      <x:c r="M136" s="15" t="str"/>
      <x:c r="N136" s="15" t="str"/>
      <x:c r="O136" s="15" t="str"/>
      <x:c r="P136" s="15" t="str"/>
      <x:c r="Q136" s="15" t="str">
        <x:v>New Solve</x:v>
      </x:c>
    </x:row>
    <x:row r="137">
      <x:c r="A137" s="15" t="n">
        <x:v>136</x:v>
      </x:c>
      <x:c r="B137" s="39"/>
      <x:c r="C137" s="15" t="str">
        <x:v>Already solved - revise</x:v>
      </x:c>
      <x:c r="D137" s="15" t="str">
        <x:v>Linked List</x:v>
      </x:c>
      <x:c r="E137" s="15" t="str">
        <x:v>Medium</x:v>
      </x:c>
      <x:c r="F137" s="15" t="n">
        <x:v>148</x:v>
      </x:c>
      <x:c r="G137" s="15" t="str">
        <x:v>Sort List</x:v>
      </x:c>
      <x:c r="H137" s="15" t="str">
        <x:v>https://leetcode.com/problems/sort-list/</x:v>
      </x:c>
      <x:c r="I137" s="15" t="str">
        <x:v>Done</x:v>
      </x:c>
      <x:c r="J137" s="39"/>
      <x:c r="K137" s="39"/>
      <x:c r="L137" s="39"/>
      <x:c r="M137" s="15" t="str"/>
      <x:c r="N137" s="15" t="str"/>
      <x:c r="O137" s="15" t="str"/>
      <x:c r="P137" s="15" t="str"/>
      <x:c r="Q137" s="15" t="str">
        <x:v>Revision / Confirmed</x:v>
      </x:c>
    </x:row>
    <x:row r="138">
      <x:c r="A138" s="15" t="n">
        <x:v>137</x:v>
      </x:c>
      <x:c r="B138" s="39" t="n">
        <x:v>46311</x:v>
      </x:c>
      <x:c r="C138" s="15" t="str">
        <x:v>Phase 2: 2/day</x:v>
      </x:c>
      <x:c r="D138" s="15" t="str">
        <x:v>Linked List</x:v>
      </x:c>
      <x:c r="E138" s="15" t="str">
        <x:v>Medium</x:v>
      </x:c>
      <x:c r="F138" s="15" t="n">
        <x:v>328</x:v>
      </x:c>
      <x:c r="G138" s="15" t="str">
        <x:v>Odd Even Linked List</x:v>
      </x:c>
      <x:c r="H138" s="15" t="str">
        <x:v>https://leetcode.com/problems/odd-even-linked-list/</x:v>
      </x:c>
      <x:c r="I138" s="15" t="str">
        <x:v>Not Started</x:v>
      </x:c>
      <x:c r="J138" s="39"/>
      <x:c r="K138" s="39"/>
      <x:c r="L138" s="39"/>
      <x:c r="M138" s="15" t="str"/>
      <x:c r="N138" s="15" t="str"/>
      <x:c r="O138" s="15" t="str"/>
      <x:c r="P138" s="15" t="str"/>
      <x:c r="Q138" s="15" t="str">
        <x:v>New Solve</x:v>
      </x:c>
    </x:row>
    <x:row r="139">
      <x:c r="A139" s="15" t="n">
        <x:v>138</x:v>
      </x:c>
      <x:c r="B139" s="39" t="n">
        <x:v>46311</x:v>
      </x:c>
      <x:c r="C139" s="15" t="str">
        <x:v>Phase 2: 2/day</x:v>
      </x:c>
      <x:c r="D139" s="15" t="str">
        <x:v>Linked List</x:v>
      </x:c>
      <x:c r="E139" s="15" t="str">
        <x:v>Medium</x:v>
      </x:c>
      <x:c r="F139" s="15" t="n">
        <x:v>445</x:v>
      </x:c>
      <x:c r="G139" s="15" t="str">
        <x:v>Add Two Numbers II</x:v>
      </x:c>
      <x:c r="H139" s="15" t="str">
        <x:v>https://leetcode.com/problems/add-two-numbers-ii/</x:v>
      </x:c>
      <x:c r="I139" s="15" t="str">
        <x:v>Not Started</x:v>
      </x:c>
      <x:c r="J139" s="39"/>
      <x:c r="K139" s="39"/>
      <x:c r="L139" s="39"/>
      <x:c r="M139" s="15" t="str"/>
      <x:c r="N139" s="15" t="str"/>
      <x:c r="O139" s="15" t="str"/>
      <x:c r="P139" s="15" t="str"/>
      <x:c r="Q139" s="15" t="str">
        <x:v>New Solve</x:v>
      </x:c>
    </x:row>
    <x:row r="140">
      <x:c r="A140" s="15" t="n">
        <x:v>139</x:v>
      </x:c>
      <x:c r="B140" s="39" t="n">
        <x:v>46312</x:v>
      </x:c>
      <x:c r="C140" s="15" t="str">
        <x:v>Phase 2: 2/day</x:v>
      </x:c>
      <x:c r="D140" s="15" t="str">
        <x:v>Linked List</x:v>
      </x:c>
      <x:c r="E140" s="15" t="str">
        <x:v>Medium</x:v>
      </x:c>
      <x:c r="F140" s="15" t="n">
        <x:v>707</x:v>
      </x:c>
      <x:c r="G140" s="15" t="str">
        <x:v>Design Linked List</x:v>
      </x:c>
      <x:c r="H140" s="15" t="str">
        <x:v>https://leetcode.com/problems/design-linked-list/</x:v>
      </x:c>
      <x:c r="I140" s="15" t="str">
        <x:v>Not Started</x:v>
      </x:c>
      <x:c r="J140" s="39"/>
      <x:c r="K140" s="39"/>
      <x:c r="L140" s="39"/>
      <x:c r="M140" s="15" t="str"/>
      <x:c r="N140" s="15" t="str"/>
      <x:c r="O140" s="15" t="str"/>
      <x:c r="P140" s="15" t="str"/>
      <x:c r="Q140" s="15" t="str">
        <x:v>New Solve</x:v>
      </x:c>
    </x:row>
    <x:row r="141">
      <x:c r="A141" s="15" t="n">
        <x:v>140</x:v>
      </x:c>
      <x:c r="B141" s="39" t="n">
        <x:v>46312</x:v>
      </x:c>
      <x:c r="C141" s="15" t="str">
        <x:v>Phase 2: 2/day</x:v>
      </x:c>
      <x:c r="D141" s="15" t="str">
        <x:v>Linked List</x:v>
      </x:c>
      <x:c r="E141" s="15" t="str">
        <x:v>Medium</x:v>
      </x:c>
      <x:c r="F141" s="15" t="n">
        <x:v>725</x:v>
      </x:c>
      <x:c r="G141" s="15" t="str">
        <x:v>Split Linked List in Parts</x:v>
      </x:c>
      <x:c r="H141" s="15" t="str">
        <x:v>https://leetcode.com/problems/split-linked-list-in-parts/</x:v>
      </x:c>
      <x:c r="I141" s="15" t="str">
        <x:v>Not Started</x:v>
      </x:c>
      <x:c r="J141" s="39"/>
      <x:c r="K141" s="39"/>
      <x:c r="L141" s="39"/>
      <x:c r="M141" s="15" t="str"/>
      <x:c r="N141" s="15" t="str"/>
      <x:c r="O141" s="15" t="str"/>
      <x:c r="P141" s="15" t="str"/>
      <x:c r="Q141" s="15" t="str">
        <x:v>New Solve</x:v>
      </x:c>
    </x:row>
    <x:row r="142">
      <x:c r="A142" s="15" t="n">
        <x:v>141</x:v>
      </x:c>
      <x:c r="B142" s="39" t="n">
        <x:v>46313</x:v>
      </x:c>
      <x:c r="C142" s="15" t="str">
        <x:v>Phase 2: 2/day</x:v>
      </x:c>
      <x:c r="D142" s="15" t="str">
        <x:v>Linked List</x:v>
      </x:c>
      <x:c r="E142" s="15" t="str">
        <x:v>Medium</x:v>
      </x:c>
      <x:c r="F142" s="15" t="n">
        <x:v>817</x:v>
      </x:c>
      <x:c r="G142" s="15" t="str">
        <x:v>Linked List Components</x:v>
      </x:c>
      <x:c r="H142" s="15" t="str">
        <x:v>https://leetcode.com/problems/linked-list-components/</x:v>
      </x:c>
      <x:c r="I142" s="15" t="str">
        <x:v>Not Started</x:v>
      </x:c>
      <x:c r="J142" s="39"/>
      <x:c r="K142" s="39"/>
      <x:c r="L142" s="39"/>
      <x:c r="M142" s="15" t="str"/>
      <x:c r="N142" s="15" t="str"/>
      <x:c r="O142" s="15" t="str"/>
      <x:c r="P142" s="15" t="str"/>
      <x:c r="Q142" s="15" t="str">
        <x:v>New Solve</x:v>
      </x:c>
    </x:row>
    <x:row r="143">
      <x:c r="A143" s="15" t="n">
        <x:v>142</x:v>
      </x:c>
      <x:c r="B143" s="39" t="n">
        <x:v>46313</x:v>
      </x:c>
      <x:c r="C143" s="15" t="str">
        <x:v>Phase 2: 2/day</x:v>
      </x:c>
      <x:c r="D143" s="15" t="str">
        <x:v>Linked List</x:v>
      </x:c>
      <x:c r="E143" s="15" t="str">
        <x:v>Medium</x:v>
      </x:c>
      <x:c r="F143" s="15" t="n">
        <x:v>1019</x:v>
      </x:c>
      <x:c r="G143" s="15" t="str">
        <x:v>Next Greater Node In Linked List</x:v>
      </x:c>
      <x:c r="H143" s="15" t="str">
        <x:v>https://leetcode.com/problems/next-greater-node-in-linked-list/</x:v>
      </x:c>
      <x:c r="I143" s="15" t="str">
        <x:v>Not Started</x:v>
      </x:c>
      <x:c r="J143" s="39"/>
      <x:c r="K143" s="39"/>
      <x:c r="L143" s="39"/>
      <x:c r="M143" s="15" t="str"/>
      <x:c r="N143" s="15" t="str"/>
      <x:c r="O143" s="15" t="str"/>
      <x:c r="P143" s="15" t="str"/>
      <x:c r="Q143" s="15" t="str">
        <x:v>New Solve</x:v>
      </x:c>
    </x:row>
    <x:row r="144">
      <x:c r="A144" s="15" t="n">
        <x:v>143</x:v>
      </x:c>
      <x:c r="B144" s="39" t="n">
        <x:v>46314</x:v>
      </x:c>
      <x:c r="C144" s="15" t="str">
        <x:v>Phase 2: 2/day</x:v>
      </x:c>
      <x:c r="D144" s="15" t="str">
        <x:v>Linked List</x:v>
      </x:c>
      <x:c r="E144" s="15" t="str">
        <x:v>Medium</x:v>
      </x:c>
      <x:c r="F144" s="15" t="n">
        <x:v>1171</x:v>
      </x:c>
      <x:c r="G144" s="15" t="str">
        <x:v>Remove Zero Sum Consecutive Nodes from Linked List</x:v>
      </x:c>
      <x:c r="H144" s="15" t="str">
        <x:v>https://leetcode.com/problems/remove-zero-sum-consecutive-nodes-from-linked-list/</x:v>
      </x:c>
      <x:c r="I144" s="15" t="str">
        <x:v>Not Started</x:v>
      </x:c>
      <x:c r="J144" s="39"/>
      <x:c r="K144" s="39"/>
      <x:c r="L144" s="39"/>
      <x:c r="M144" s="15" t="str"/>
      <x:c r="N144" s="15" t="str"/>
      <x:c r="O144" s="15" t="str"/>
      <x:c r="P144" s="15" t="str"/>
      <x:c r="Q144" s="15" t="str">
        <x:v>New Solve</x:v>
      </x:c>
    </x:row>
    <x:row r="145">
      <x:c r="A145" s="15" t="n">
        <x:v>144</x:v>
      </x:c>
      <x:c r="B145" s="39" t="n">
        <x:v>46314</x:v>
      </x:c>
      <x:c r="C145" s="15" t="str">
        <x:v>Phase 2: 2/day</x:v>
      </x:c>
      <x:c r="D145" s="15" t="str">
        <x:v>Linked List</x:v>
      </x:c>
      <x:c r="E145" s="15" t="str">
        <x:v>Hard</x:v>
      </x:c>
      <x:c r="F145" s="15" t="n">
        <x:v>23</x:v>
      </x:c>
      <x:c r="G145" s="15" t="str">
        <x:v>Merge k Sorted Lists</x:v>
      </x:c>
      <x:c r="H145" s="15" t="str">
        <x:v>https://leetcode.com/problems/merge-k-sorted-lists/</x:v>
      </x:c>
      <x:c r="I145" s="15" t="str">
        <x:v>Not Started</x:v>
      </x:c>
      <x:c r="J145" s="39"/>
      <x:c r="K145" s="39"/>
      <x:c r="L145" s="39"/>
      <x:c r="M145" s="15" t="str"/>
      <x:c r="N145" s="15" t="str"/>
      <x:c r="O145" s="15" t="str"/>
      <x:c r="P145" s="15" t="str"/>
      <x:c r="Q145" s="15" t="str">
        <x:v>New Solve</x:v>
      </x:c>
    </x:row>
    <x:row r="146">
      <x:c r="A146" s="15" t="n">
        <x:v>145</x:v>
      </x:c>
      <x:c r="B146" s="39" t="n">
        <x:v>46315</x:v>
      </x:c>
      <x:c r="C146" s="15" t="str">
        <x:v>Phase 2: 2/day</x:v>
      </x:c>
      <x:c r="D146" s="15" t="str">
        <x:v>Linked List</x:v>
      </x:c>
      <x:c r="E146" s="15" t="str">
        <x:v>Hard</x:v>
      </x:c>
      <x:c r="F146" s="15" t="n">
        <x:v>25</x:v>
      </x:c>
      <x:c r="G146" s="15" t="str">
        <x:v>Reverse Nodes in k-Group</x:v>
      </x:c>
      <x:c r="H146" s="15" t="str">
        <x:v>https://leetcode.com/problems/reverse-nodes-in-k-group/</x:v>
      </x:c>
      <x:c r="I146" s="15" t="str">
        <x:v>Not Started</x:v>
      </x:c>
      <x:c r="J146" s="39"/>
      <x:c r="K146" s="39"/>
      <x:c r="L146" s="39"/>
      <x:c r="M146" s="15" t="str"/>
      <x:c r="N146" s="15" t="str"/>
      <x:c r="O146" s="15" t="str"/>
      <x:c r="P146" s="15" t="str"/>
      <x:c r="Q146" s="15" t="str">
        <x:v>New Solve</x:v>
      </x:c>
    </x:row>
    <x:row r="147">
      <x:c r="A147" s="15" t="n">
        <x:v>146</x:v>
      </x:c>
      <x:c r="B147" s="39"/>
      <x:c r="C147" s="15" t="str">
        <x:v>Already solved - revise</x:v>
      </x:c>
      <x:c r="D147" s="15" t="str">
        <x:v>Stack / Queue / Monotonic</x:v>
      </x:c>
      <x:c r="E147" s="15" t="str">
        <x:v>Easy</x:v>
      </x:c>
      <x:c r="F147" s="15" t="n">
        <x:v>20</x:v>
      </x:c>
      <x:c r="G147" s="15" t="str">
        <x:v>Valid Parentheses</x:v>
      </x:c>
      <x:c r="H147" s="15" t="str">
        <x:v>https://leetcode.com/problems/valid-parentheses/</x:v>
      </x:c>
      <x:c r="I147" s="15" t="str">
        <x:v>Done</x:v>
      </x:c>
      <x:c r="J147" s="39"/>
      <x:c r="K147" s="39"/>
      <x:c r="L147" s="39"/>
      <x:c r="M147" s="15" t="str"/>
      <x:c r="N147" s="15" t="str"/>
      <x:c r="O147" s="15" t="str"/>
      <x:c r="P147" s="15" t="str"/>
      <x:c r="Q147" s="15" t="str">
        <x:v>Revision / Confirmed</x:v>
      </x:c>
    </x:row>
    <x:row r="148">
      <x:c r="A148" s="15" t="n">
        <x:v>147</x:v>
      </x:c>
      <x:c r="B148" s="39"/>
      <x:c r="C148" s="15" t="str">
        <x:v>Already solved - revise</x:v>
      </x:c>
      <x:c r="D148" s="15" t="str">
        <x:v>Stack / Queue / Monotonic</x:v>
      </x:c>
      <x:c r="E148" s="15" t="str">
        <x:v>Medium</x:v>
      </x:c>
      <x:c r="F148" s="15" t="n">
        <x:v>155</x:v>
      </x:c>
      <x:c r="G148" s="15" t="str">
        <x:v>Min Stack</x:v>
      </x:c>
      <x:c r="H148" s="15" t="str">
        <x:v>https://leetcode.com/problems/min-stack/</x:v>
      </x:c>
      <x:c r="I148" s="15" t="str">
        <x:v>Done</x:v>
      </x:c>
      <x:c r="J148" s="39"/>
      <x:c r="K148" s="39"/>
      <x:c r="L148" s="39"/>
      <x:c r="M148" s="15" t="str"/>
      <x:c r="N148" s="15" t="str"/>
      <x:c r="O148" s="15" t="str"/>
      <x:c r="P148" s="15" t="str"/>
      <x:c r="Q148" s="15" t="str">
        <x:v>Revision / Confirmed</x:v>
      </x:c>
    </x:row>
    <x:row r="149">
      <x:c r="A149" s="15" t="n">
        <x:v>148</x:v>
      </x:c>
      <x:c r="B149" s="39" t="n">
        <x:v>46315</x:v>
      </x:c>
      <x:c r="C149" s="15" t="str">
        <x:v>Phase 2: 2/day</x:v>
      </x:c>
      <x:c r="D149" s="15" t="str">
        <x:v>Stack / Queue / Monotonic</x:v>
      </x:c>
      <x:c r="E149" s="15" t="str">
        <x:v>Medium</x:v>
      </x:c>
      <x:c r="F149" s="15" t="n">
        <x:v>150</x:v>
      </x:c>
      <x:c r="G149" s="15" t="str">
        <x:v>Evaluate Reverse Polish Notation</x:v>
      </x:c>
      <x:c r="H149" s="15" t="str">
        <x:v>https://leetcode.com/problems/evaluate-reverse-polish-notation/</x:v>
      </x:c>
      <x:c r="I149" s="15" t="str">
        <x:v>Not Started</x:v>
      </x:c>
      <x:c r="J149" s="39"/>
      <x:c r="K149" s="39"/>
      <x:c r="L149" s="39"/>
      <x:c r="M149" s="15" t="str"/>
      <x:c r="N149" s="15" t="str"/>
      <x:c r="O149" s="15" t="str"/>
      <x:c r="P149" s="15" t="str"/>
      <x:c r="Q149" s="15" t="str">
        <x:v>New Solve</x:v>
      </x:c>
    </x:row>
    <x:row r="150">
      <x:c r="A150" s="15" t="n">
        <x:v>149</x:v>
      </x:c>
      <x:c r="B150" s="39" t="n">
        <x:v>46316</x:v>
      </x:c>
      <x:c r="C150" s="15" t="str">
        <x:v>Phase 2: 2/day</x:v>
      </x:c>
      <x:c r="D150" s="15" t="str">
        <x:v>Stack / Queue / Monotonic</x:v>
      </x:c>
      <x:c r="E150" s="15" t="str">
        <x:v>Easy</x:v>
      </x:c>
      <x:c r="F150" s="15" t="n">
        <x:v>225</x:v>
      </x:c>
      <x:c r="G150" s="15" t="str">
        <x:v>Implement Stack using Queues</x:v>
      </x:c>
      <x:c r="H150" s="15" t="str">
        <x:v>https://leetcode.com/problems/implement-stack-using-queues/</x:v>
      </x:c>
      <x:c r="I150" s="15" t="str">
        <x:v>Not Started</x:v>
      </x:c>
      <x:c r="J150" s="39"/>
      <x:c r="K150" s="39"/>
      <x:c r="L150" s="39"/>
      <x:c r="M150" s="15" t="str"/>
      <x:c r="N150" s="15" t="str"/>
      <x:c r="O150" s="15" t="str"/>
      <x:c r="P150" s="15" t="str"/>
      <x:c r="Q150" s="15" t="str">
        <x:v>New Solve</x:v>
      </x:c>
    </x:row>
    <x:row r="151">
      <x:c r="A151" s="15" t="n">
        <x:v>150</x:v>
      </x:c>
      <x:c r="B151" s="39" t="n">
        <x:v>46316</x:v>
      </x:c>
      <x:c r="C151" s="15" t="str">
        <x:v>Phase 2: 2/day</x:v>
      </x:c>
      <x:c r="D151" s="15" t="str">
        <x:v>Stack / Queue / Monotonic</x:v>
      </x:c>
      <x:c r="E151" s="15" t="str">
        <x:v>Easy</x:v>
      </x:c>
      <x:c r="F151" s="15" t="n">
        <x:v>232</x:v>
      </x:c>
      <x:c r="G151" s="15" t="str">
        <x:v>Implement Queue using Stacks</x:v>
      </x:c>
      <x:c r="H151" s="15" t="str">
        <x:v>https://leetcode.com/problems/implement-queue-using-stacks/</x:v>
      </x:c>
      <x:c r="I151" s="15" t="str">
        <x:v>Not Started</x:v>
      </x:c>
      <x:c r="J151" s="39"/>
      <x:c r="K151" s="39"/>
      <x:c r="L151" s="39"/>
      <x:c r="M151" s="15" t="str"/>
      <x:c r="N151" s="15" t="str"/>
      <x:c r="O151" s="15" t="str"/>
      <x:c r="P151" s="15" t="str"/>
      <x:c r="Q151" s="15" t="str">
        <x:v>New Solve</x:v>
      </x:c>
    </x:row>
    <x:row r="152">
      <x:c r="A152" s="15" t="n">
        <x:v>151</x:v>
      </x:c>
      <x:c r="B152" s="39" t="n">
        <x:v>46317</x:v>
      </x:c>
      <x:c r="C152" s="15" t="str">
        <x:v>Phase 2: 2/day</x:v>
      </x:c>
      <x:c r="D152" s="15" t="str">
        <x:v>Stack / Queue / Monotonic</x:v>
      </x:c>
      <x:c r="E152" s="15" t="str">
        <x:v>Easy</x:v>
      </x:c>
      <x:c r="F152" s="15" t="n">
        <x:v>682</x:v>
      </x:c>
      <x:c r="G152" s="15" t="str">
        <x:v>Baseball Game</x:v>
      </x:c>
      <x:c r="H152" s="15" t="str">
        <x:v>https://leetcode.com/problems/baseball-game/</x:v>
      </x:c>
      <x:c r="I152" s="15" t="str">
        <x:v>Not Started</x:v>
      </x:c>
      <x:c r="J152" s="39"/>
      <x:c r="K152" s="39"/>
      <x:c r="L152" s="39"/>
      <x:c r="M152" s="15" t="str"/>
      <x:c r="N152" s="15" t="str"/>
      <x:c r="O152" s="15" t="str"/>
      <x:c r="P152" s="15" t="str"/>
      <x:c r="Q152" s="15" t="str">
        <x:v>New Solve</x:v>
      </x:c>
    </x:row>
    <x:row r="153">
      <x:c r="A153" s="15" t="n">
        <x:v>152</x:v>
      </x:c>
      <x:c r="B153" s="39" t="n">
        <x:v>46317</x:v>
      </x:c>
      <x:c r="C153" s="15" t="str">
        <x:v>Phase 2: 2/day</x:v>
      </x:c>
      <x:c r="D153" s="15" t="str">
        <x:v>Stack / Queue / Monotonic</x:v>
      </x:c>
      <x:c r="E153" s="15" t="str">
        <x:v>Medium</x:v>
      </x:c>
      <x:c r="F153" s="15" t="n">
        <x:v>739</x:v>
      </x:c>
      <x:c r="G153" s="15" t="str">
        <x:v>Daily Temperatures</x:v>
      </x:c>
      <x:c r="H153" s="15" t="str">
        <x:v>https://leetcode.com/problems/daily-temperatures/</x:v>
      </x:c>
      <x:c r="I153" s="15" t="str">
        <x:v>Not Started</x:v>
      </x:c>
      <x:c r="J153" s="39"/>
      <x:c r="K153" s="39"/>
      <x:c r="L153" s="39"/>
      <x:c r="M153" s="15" t="str"/>
      <x:c r="N153" s="15" t="str"/>
      <x:c r="O153" s="15" t="str"/>
      <x:c r="P153" s="15" t="str"/>
      <x:c r="Q153" s="15" t="str">
        <x:v>New Solve</x:v>
      </x:c>
    </x:row>
    <x:row r="154">
      <x:c r="A154" s="15" t="n">
        <x:v>153</x:v>
      </x:c>
      <x:c r="B154" s="39" t="n">
        <x:v>46318</x:v>
      </x:c>
      <x:c r="C154" s="15" t="str">
        <x:v>Phase 2: 2/day</x:v>
      </x:c>
      <x:c r="D154" s="15" t="str">
        <x:v>Stack / Queue / Monotonic</x:v>
      </x:c>
      <x:c r="E154" s="15" t="str">
        <x:v>Medium</x:v>
      </x:c>
      <x:c r="F154" s="15" t="n">
        <x:v>735</x:v>
      </x:c>
      <x:c r="G154" s="15" t="str">
        <x:v>Asteroid Collision</x:v>
      </x:c>
      <x:c r="H154" s="15" t="str">
        <x:v>https://leetcode.com/problems/asteroid-collision/</x:v>
      </x:c>
      <x:c r="I154" s="15" t="str">
        <x:v>Not Started</x:v>
      </x:c>
      <x:c r="J154" s="39"/>
      <x:c r="K154" s="39"/>
      <x:c r="L154" s="39"/>
      <x:c r="M154" s="15" t="str"/>
      <x:c r="N154" s="15" t="str"/>
      <x:c r="O154" s="15" t="str"/>
      <x:c r="P154" s="15" t="str"/>
      <x:c r="Q154" s="15" t="str">
        <x:v>New Solve</x:v>
      </x:c>
    </x:row>
    <x:row r="155">
      <x:c r="A155" s="15" t="n">
        <x:v>154</x:v>
      </x:c>
      <x:c r="B155" s="39" t="n">
        <x:v>46318</x:v>
      </x:c>
      <x:c r="C155" s="15" t="str">
        <x:v>Phase 2: 2/day</x:v>
      </x:c>
      <x:c r="D155" s="15" t="str">
        <x:v>Stack / Queue / Monotonic</x:v>
      </x:c>
      <x:c r="E155" s="15" t="str">
        <x:v>Medium</x:v>
      </x:c>
      <x:c r="F155" s="15" t="n">
        <x:v>71</x:v>
      </x:c>
      <x:c r="G155" s="15" t="str">
        <x:v>Simplify Path</x:v>
      </x:c>
      <x:c r="H155" s="15" t="str">
        <x:v>https://leetcode.com/problems/simplify-path/</x:v>
      </x:c>
      <x:c r="I155" s="15" t="str">
        <x:v>Not Started</x:v>
      </x:c>
      <x:c r="J155" s="39"/>
      <x:c r="K155" s="39"/>
      <x:c r="L155" s="39"/>
      <x:c r="M155" s="15" t="str"/>
      <x:c r="N155" s="15" t="str"/>
      <x:c r="O155" s="15" t="str"/>
      <x:c r="P155" s="15" t="str"/>
      <x:c r="Q155" s="15" t="str">
        <x:v>New Solve</x:v>
      </x:c>
    </x:row>
    <x:row r="156">
      <x:c r="A156" s="15" t="n">
        <x:v>155</x:v>
      </x:c>
      <x:c r="B156" s="39" t="n">
        <x:v>46319</x:v>
      </x:c>
      <x:c r="C156" s="15" t="str">
        <x:v>Phase 2: 2/day</x:v>
      </x:c>
      <x:c r="D156" s="15" t="str">
        <x:v>Stack / Queue / Monotonic</x:v>
      </x:c>
      <x:c r="E156" s="15" t="str">
        <x:v>Medium</x:v>
      </x:c>
      <x:c r="F156" s="15" t="n">
        <x:v>901</x:v>
      </x:c>
      <x:c r="G156" s="15" t="str">
        <x:v>Online Stock Span</x:v>
      </x:c>
      <x:c r="H156" s="15" t="str">
        <x:v>https://leetcode.com/problems/online-stock-span/</x:v>
      </x:c>
      <x:c r="I156" s="15" t="str">
        <x:v>Not Started</x:v>
      </x:c>
      <x:c r="J156" s="39"/>
      <x:c r="K156" s="39"/>
      <x:c r="L156" s="39"/>
      <x:c r="M156" s="15" t="str"/>
      <x:c r="N156" s="15" t="str"/>
      <x:c r="O156" s="15" t="str"/>
      <x:c r="P156" s="15" t="str"/>
      <x:c r="Q156" s="15" t="str">
        <x:v>New Solve</x:v>
      </x:c>
    </x:row>
    <x:row r="157">
      <x:c r="A157" s="15" t="n">
        <x:v>156</x:v>
      </x:c>
      <x:c r="B157" s="39" t="n">
        <x:v>46319</x:v>
      </x:c>
      <x:c r="C157" s="15" t="str">
        <x:v>Phase 2: 2/day</x:v>
      </x:c>
      <x:c r="D157" s="15" t="str">
        <x:v>Stack / Queue / Monotonic</x:v>
      </x:c>
      <x:c r="E157" s="15" t="str">
        <x:v>Medium</x:v>
      </x:c>
      <x:c r="F157" s="15" t="n">
        <x:v>622</x:v>
      </x:c>
      <x:c r="G157" s="15" t="str">
        <x:v>Design Circular Queue</x:v>
      </x:c>
      <x:c r="H157" s="15" t="str">
        <x:v>https://leetcode.com/problems/design-circular-queue/</x:v>
      </x:c>
      <x:c r="I157" s="15" t="str">
        <x:v>Not Started</x:v>
      </x:c>
      <x:c r="J157" s="39"/>
      <x:c r="K157" s="39"/>
      <x:c r="L157" s="39"/>
      <x:c r="M157" s="15" t="str"/>
      <x:c r="N157" s="15" t="str"/>
      <x:c r="O157" s="15" t="str"/>
      <x:c r="P157" s="15" t="str"/>
      <x:c r="Q157" s="15" t="str">
        <x:v>New Solve</x:v>
      </x:c>
    </x:row>
    <x:row r="158">
      <x:c r="A158" s="15" t="n">
        <x:v>157</x:v>
      </x:c>
      <x:c r="B158" s="39" t="n">
        <x:v>46320</x:v>
      </x:c>
      <x:c r="C158" s="15" t="str">
        <x:v>Phase 2: 2/day</x:v>
      </x:c>
      <x:c r="D158" s="15" t="str">
        <x:v>Stack / Queue / Monotonic</x:v>
      </x:c>
      <x:c r="E158" s="15" t="str">
        <x:v>Medium</x:v>
      </x:c>
      <x:c r="F158" s="15" t="n">
        <x:v>641</x:v>
      </x:c>
      <x:c r="G158" s="15" t="str">
        <x:v>Design Circular Deque</x:v>
      </x:c>
      <x:c r="H158" s="15" t="str">
        <x:v>https://leetcode.com/problems/design-circular-deque/</x:v>
      </x:c>
      <x:c r="I158" s="15" t="str">
        <x:v>Not Started</x:v>
      </x:c>
      <x:c r="J158" s="39"/>
      <x:c r="K158" s="39"/>
      <x:c r="L158" s="39"/>
      <x:c r="M158" s="15" t="str"/>
      <x:c r="N158" s="15" t="str"/>
      <x:c r="O158" s="15" t="str"/>
      <x:c r="P158" s="15" t="str"/>
      <x:c r="Q158" s="15" t="str">
        <x:v>New Solve</x:v>
      </x:c>
    </x:row>
    <x:row r="159">
      <x:c r="A159" s="15" t="n">
        <x:v>158</x:v>
      </x:c>
      <x:c r="B159" s="39" t="n">
        <x:v>46320</x:v>
      </x:c>
      <x:c r="C159" s="15" t="str">
        <x:v>Phase 2: 2/day</x:v>
      </x:c>
      <x:c r="D159" s="15" t="str">
        <x:v>Stack / Queue / Monotonic</x:v>
      </x:c>
      <x:c r="E159" s="15" t="str">
        <x:v>Easy</x:v>
      </x:c>
      <x:c r="F159" s="15" t="n">
        <x:v>933</x:v>
      </x:c>
      <x:c r="G159" s="15" t="str">
        <x:v>Number of Recent Calls</x:v>
      </x:c>
      <x:c r="H159" s="15" t="str">
        <x:v>https://leetcode.com/problems/number-of-recent-calls/</x:v>
      </x:c>
      <x:c r="I159" s="15" t="str">
        <x:v>Not Started</x:v>
      </x:c>
      <x:c r="J159" s="39"/>
      <x:c r="K159" s="39"/>
      <x:c r="L159" s="39"/>
      <x:c r="M159" s="15" t="str"/>
      <x:c r="N159" s="15" t="str"/>
      <x:c r="O159" s="15" t="str"/>
      <x:c r="P159" s="15" t="str"/>
      <x:c r="Q159" s="15" t="str">
        <x:v>New Solve</x:v>
      </x:c>
    </x:row>
    <x:row r="160">
      <x:c r="A160" s="15" t="n">
        <x:v>159</x:v>
      </x:c>
      <x:c r="B160" s="39" t="n">
        <x:v>46321</x:v>
      </x:c>
      <x:c r="C160" s="15" t="str">
        <x:v>Phase 2: 2/day</x:v>
      </x:c>
      <x:c r="D160" s="15" t="str">
        <x:v>Stack / Queue / Monotonic</x:v>
      </x:c>
      <x:c r="E160" s="15" t="str">
        <x:v>Medium</x:v>
      </x:c>
      <x:c r="F160" s="15" t="n">
        <x:v>950</x:v>
      </x:c>
      <x:c r="G160" s="15" t="str">
        <x:v>Reveal Cards In Increasing Order</x:v>
      </x:c>
      <x:c r="H160" s="15" t="str">
        <x:v>https://leetcode.com/problems/reveal-cards-in-increasing-order/</x:v>
      </x:c>
      <x:c r="I160" s="15" t="str">
        <x:v>Not Started</x:v>
      </x:c>
      <x:c r="J160" s="39"/>
      <x:c r="K160" s="39"/>
      <x:c r="L160" s="39"/>
      <x:c r="M160" s="15" t="str"/>
      <x:c r="N160" s="15" t="str"/>
      <x:c r="O160" s="15" t="str"/>
      <x:c r="P160" s="15" t="str"/>
      <x:c r="Q160" s="15" t="str">
        <x:v>New Solve</x:v>
      </x:c>
    </x:row>
    <x:row r="161">
      <x:c r="A161" s="15" t="n">
        <x:v>160</x:v>
      </x:c>
      <x:c r="B161" s="39" t="n">
        <x:v>46321</x:v>
      </x:c>
      <x:c r="C161" s="15" t="str">
        <x:v>Phase 2: 2/day</x:v>
      </x:c>
      <x:c r="D161" s="15" t="str">
        <x:v>Stack / Queue / Monotonic</x:v>
      </x:c>
      <x:c r="E161" s="15" t="str">
        <x:v>Medium</x:v>
      </x:c>
      <x:c r="F161" s="15" t="n">
        <x:v>649</x:v>
      </x:c>
      <x:c r="G161" s="15" t="str">
        <x:v>Dota2 Senate</x:v>
      </x:c>
      <x:c r="H161" s="15" t="str">
        <x:v>https://leetcode.com/problems/dota2-senate/</x:v>
      </x:c>
      <x:c r="I161" s="15" t="str">
        <x:v>Not Started</x:v>
      </x:c>
      <x:c r="J161" s="39"/>
      <x:c r="K161" s="39"/>
      <x:c r="L161" s="39"/>
      <x:c r="M161" s="15" t="str"/>
      <x:c r="N161" s="15" t="str"/>
      <x:c r="O161" s="15" t="str"/>
      <x:c r="P161" s="15" t="str"/>
      <x:c r="Q161" s="15" t="str">
        <x:v>New Solve</x:v>
      </x:c>
    </x:row>
    <x:row r="162">
      <x:c r="A162" s="15" t="n">
        <x:v>161</x:v>
      </x:c>
      <x:c r="B162" s="39" t="n">
        <x:v>46322</x:v>
      </x:c>
      <x:c r="C162" s="15" t="str">
        <x:v>Phase 2: 2/day</x:v>
      </x:c>
      <x:c r="D162" s="15" t="str">
        <x:v>Stack / Queue / Monotonic</x:v>
      </x:c>
      <x:c r="E162" s="15" t="str">
        <x:v>Medium</x:v>
      </x:c>
      <x:c r="F162" s="15" t="n">
        <x:v>1441</x:v>
      </x:c>
      <x:c r="G162" s="15" t="str">
        <x:v>Build an Array With Stack Operations</x:v>
      </x:c>
      <x:c r="H162" s="15" t="str">
        <x:v>https://leetcode.com/problems/build-an-array-with-stack-operations/</x:v>
      </x:c>
      <x:c r="I162" s="15" t="str">
        <x:v>Not Started</x:v>
      </x:c>
      <x:c r="J162" s="39"/>
      <x:c r="K162" s="39"/>
      <x:c r="L162" s="39"/>
      <x:c r="M162" s="15" t="str"/>
      <x:c r="N162" s="15" t="str"/>
      <x:c r="O162" s="15" t="str"/>
      <x:c r="P162" s="15" t="str"/>
      <x:c r="Q162" s="15" t="str">
        <x:v>New Solve</x:v>
      </x:c>
    </x:row>
    <x:row r="163">
      <x:c r="A163" s="15" t="n">
        <x:v>162</x:v>
      </x:c>
      <x:c r="B163" s="39" t="n">
        <x:v>46322</x:v>
      </x:c>
      <x:c r="C163" s="15" t="str">
        <x:v>Phase 2: 2/day</x:v>
      </x:c>
      <x:c r="D163" s="15" t="str">
        <x:v>Stack / Queue / Monotonic</x:v>
      </x:c>
      <x:c r="E163" s="15" t="str">
        <x:v>Easy</x:v>
      </x:c>
      <x:c r="F163" s="15" t="n">
        <x:v>1598</x:v>
      </x:c>
      <x:c r="G163" s="15" t="str">
        <x:v>Crawler Log Folder</x:v>
      </x:c>
      <x:c r="H163" s="15" t="str">
        <x:v>https://leetcode.com/problems/crawler-log-folder/</x:v>
      </x:c>
      <x:c r="I163" s="15" t="str">
        <x:v>Not Started</x:v>
      </x:c>
      <x:c r="J163" s="39"/>
      <x:c r="K163" s="39"/>
      <x:c r="L163" s="39"/>
      <x:c r="M163" s="15" t="str"/>
      <x:c r="N163" s="15" t="str"/>
      <x:c r="O163" s="15" t="str"/>
      <x:c r="P163" s="15" t="str"/>
      <x:c r="Q163" s="15" t="str">
        <x:v>New Solve</x:v>
      </x:c>
    </x:row>
    <x:row r="164">
      <x:c r="A164" s="15" t="n">
        <x:v>163</x:v>
      </x:c>
      <x:c r="B164" s="39" t="n">
        <x:v>46323</x:v>
      </x:c>
      <x:c r="C164" s="15" t="str">
        <x:v>Phase 2: 2/day</x:v>
      </x:c>
      <x:c r="D164" s="15" t="str">
        <x:v>Stack / Queue / Monotonic</x:v>
      </x:c>
      <x:c r="E164" s="15" t="str">
        <x:v>Easy</x:v>
      </x:c>
      <x:c r="F164" s="15" t="n">
        <x:v>1700</x:v>
      </x:c>
      <x:c r="G164" s="15" t="str">
        <x:v>Number of Students Unable to Eat Lunch</x:v>
      </x:c>
      <x:c r="H164" s="15" t="str">
        <x:v>https://leetcode.com/problems/number-of-students-unable-to-eat-lunch/</x:v>
      </x:c>
      <x:c r="I164" s="15" t="str">
        <x:v>Not Started</x:v>
      </x:c>
      <x:c r="J164" s="39"/>
      <x:c r="K164" s="39"/>
      <x:c r="L164" s="39"/>
      <x:c r="M164" s="15" t="str"/>
      <x:c r="N164" s="15" t="str"/>
      <x:c r="O164" s="15" t="str"/>
      <x:c r="P164" s="15" t="str"/>
      <x:c r="Q164" s="15" t="str">
        <x:v>New Solve</x:v>
      </x:c>
    </x:row>
    <x:row r="165">
      <x:c r="A165" s="15" t="n">
        <x:v>164</x:v>
      </x:c>
      <x:c r="B165" s="39" t="n">
        <x:v>46323</x:v>
      </x:c>
      <x:c r="C165" s="15" t="str">
        <x:v>Phase 2: 2/day</x:v>
      </x:c>
      <x:c r="D165" s="15" t="str">
        <x:v>Stack / Queue / Monotonic</x:v>
      </x:c>
      <x:c r="E165" s="15" t="str">
        <x:v>Easy</x:v>
      </x:c>
      <x:c r="F165" s="15" t="n">
        <x:v>496</x:v>
      </x:c>
      <x:c r="G165" s="15" t="str">
        <x:v>Next Greater Element I</x:v>
      </x:c>
      <x:c r="H165" s="15" t="str">
        <x:v>https://leetcode.com/problems/next-greater-element-i/</x:v>
      </x:c>
      <x:c r="I165" s="15" t="str">
        <x:v>Not Started</x:v>
      </x:c>
      <x:c r="J165" s="39"/>
      <x:c r="K165" s="39"/>
      <x:c r="L165" s="39"/>
      <x:c r="M165" s="15" t="str"/>
      <x:c r="N165" s="15" t="str"/>
      <x:c r="O165" s="15" t="str"/>
      <x:c r="P165" s="15" t="str"/>
      <x:c r="Q165" s="15" t="str">
        <x:v>New Solve</x:v>
      </x:c>
    </x:row>
    <x:row r="166">
      <x:c r="A166" s="15" t="n">
        <x:v>165</x:v>
      </x:c>
      <x:c r="B166" s="39" t="n">
        <x:v>46324</x:v>
      </x:c>
      <x:c r="C166" s="15" t="str">
        <x:v>Phase 2: 2/day</x:v>
      </x:c>
      <x:c r="D166" s="15" t="str">
        <x:v>Stack / Queue / Monotonic</x:v>
      </x:c>
      <x:c r="E166" s="15" t="str">
        <x:v>Medium</x:v>
      </x:c>
      <x:c r="F166" s="15" t="n">
        <x:v>503</x:v>
      </x:c>
      <x:c r="G166" s="15" t="str">
        <x:v>Next Greater Element II</x:v>
      </x:c>
      <x:c r="H166" s="15" t="str">
        <x:v>https://leetcode.com/problems/next-greater-element-ii/</x:v>
      </x:c>
      <x:c r="I166" s="15" t="str">
        <x:v>Not Started</x:v>
      </x:c>
      <x:c r="J166" s="39"/>
      <x:c r="K166" s="39"/>
      <x:c r="L166" s="39"/>
      <x:c r="M166" s="15" t="str"/>
      <x:c r="N166" s="15" t="str"/>
      <x:c r="O166" s="15" t="str"/>
      <x:c r="P166" s="15" t="str"/>
      <x:c r="Q166" s="15" t="str">
        <x:v>New Solve</x:v>
      </x:c>
    </x:row>
    <x:row r="167">
      <x:c r="A167" s="15" t="n">
        <x:v>166</x:v>
      </x:c>
      <x:c r="B167" s="39" t="n">
        <x:v>46324</x:v>
      </x:c>
      <x:c r="C167" s="15" t="str">
        <x:v>Phase 2: 2/day</x:v>
      </x:c>
      <x:c r="D167" s="15" t="str">
        <x:v>Stack / Queue / Monotonic</x:v>
      </x:c>
      <x:c r="E167" s="15" t="str">
        <x:v>Medium</x:v>
      </x:c>
      <x:c r="F167" s="15" t="n">
        <x:v>456</x:v>
      </x:c>
      <x:c r="G167" s="15" t="str">
        <x:v>132 Pattern</x:v>
      </x:c>
      <x:c r="H167" s="15" t="str">
        <x:v>https://leetcode.com/problems/132-pattern/</x:v>
      </x:c>
      <x:c r="I167" s="15" t="str">
        <x:v>Not Started</x:v>
      </x:c>
      <x:c r="J167" s="39"/>
      <x:c r="K167" s="39"/>
      <x:c r="L167" s="39"/>
      <x:c r="M167" s="15" t="str"/>
      <x:c r="N167" s="15" t="str"/>
      <x:c r="O167" s="15" t="str"/>
      <x:c r="P167" s="15" t="str"/>
      <x:c r="Q167" s="15" t="str">
        <x:v>New Solve</x:v>
      </x:c>
    </x:row>
    <x:row r="168">
      <x:c r="A168" s="15" t="n">
        <x:v>167</x:v>
      </x:c>
      <x:c r="B168" s="39" t="n">
        <x:v>46325</x:v>
      </x:c>
      <x:c r="C168" s="15" t="str">
        <x:v>Phase 2: 2/day</x:v>
      </x:c>
      <x:c r="D168" s="15" t="str">
        <x:v>Stack / Queue / Monotonic</x:v>
      </x:c>
      <x:c r="E168" s="15" t="str">
        <x:v>Medium</x:v>
      </x:c>
      <x:c r="F168" s="15" t="n">
        <x:v>853</x:v>
      </x:c>
      <x:c r="G168" s="15" t="str">
        <x:v>Car Fleet</x:v>
      </x:c>
      <x:c r="H168" s="15" t="str">
        <x:v>https://leetcode.com/problems/car-fleet/</x:v>
      </x:c>
      <x:c r="I168" s="15" t="str">
        <x:v>Not Started</x:v>
      </x:c>
      <x:c r="J168" s="39"/>
      <x:c r="K168" s="39"/>
      <x:c r="L168" s="39"/>
      <x:c r="M168" s="15" t="str"/>
      <x:c r="N168" s="15" t="str"/>
      <x:c r="O168" s="15" t="str"/>
      <x:c r="P168" s="15" t="str"/>
      <x:c r="Q168" s="15" t="str">
        <x:v>New Solve</x:v>
      </x:c>
    </x:row>
    <x:row r="169">
      <x:c r="A169" s="15" t="n">
        <x:v>168</x:v>
      </x:c>
      <x:c r="B169" s="39" t="n">
        <x:v>46325</x:v>
      </x:c>
      <x:c r="C169" s="15" t="str">
        <x:v>Phase 2: 2/day</x:v>
      </x:c>
      <x:c r="D169" s="15" t="str">
        <x:v>Stack / Queue / Monotonic</x:v>
      </x:c>
      <x:c r="E169" s="15" t="str">
        <x:v>Medium</x:v>
      </x:c>
      <x:c r="F169" s="15" t="n">
        <x:v>402</x:v>
      </x:c>
      <x:c r="G169" s="15" t="str">
        <x:v>Remove K Digits</x:v>
      </x:c>
      <x:c r="H169" s="15" t="str">
        <x:v>https://leetcode.com/problems/remove-k-digits/</x:v>
      </x:c>
      <x:c r="I169" s="15" t="str">
        <x:v>Not Started</x:v>
      </x:c>
      <x:c r="J169" s="39"/>
      <x:c r="K169" s="39"/>
      <x:c r="L169" s="39"/>
      <x:c r="M169" s="15" t="str"/>
      <x:c r="N169" s="15" t="str"/>
      <x:c r="O169" s="15" t="str"/>
      <x:c r="P169" s="15" t="str"/>
      <x:c r="Q169" s="15" t="str">
        <x:v>New Solve</x:v>
      </x:c>
    </x:row>
    <x:row r="170">
      <x:c r="A170" s="15" t="n">
        <x:v>169</x:v>
      </x:c>
      <x:c r="B170" s="39" t="n">
        <x:v>46326</x:v>
      </x:c>
      <x:c r="C170" s="15" t="str">
        <x:v>Phase 2: 2/day</x:v>
      </x:c>
      <x:c r="D170" s="15" t="str">
        <x:v>Stack / Queue / Monotonic</x:v>
      </x:c>
      <x:c r="E170" s="15" t="str">
        <x:v>Medium</x:v>
      </x:c>
      <x:c r="F170" s="15" t="n">
        <x:v>316</x:v>
      </x:c>
      <x:c r="G170" s="15" t="str">
        <x:v>Remove Duplicate Letters</x:v>
      </x:c>
      <x:c r="H170" s="15" t="str">
        <x:v>https://leetcode.com/problems/remove-duplicate-letters/</x:v>
      </x:c>
      <x:c r="I170" s="15" t="str">
        <x:v>Not Started</x:v>
      </x:c>
      <x:c r="J170" s="39"/>
      <x:c r="K170" s="39"/>
      <x:c r="L170" s="39"/>
      <x:c r="M170" s="15" t="str"/>
      <x:c r="N170" s="15" t="str"/>
      <x:c r="O170" s="15" t="str"/>
      <x:c r="P170" s="15" t="str"/>
      <x:c r="Q170" s="15" t="str">
        <x:v>New Solve</x:v>
      </x:c>
    </x:row>
    <x:row r="171">
      <x:c r="A171" s="15" t="n">
        <x:v>170</x:v>
      </x:c>
      <x:c r="B171" s="39" t="n">
        <x:v>46326</x:v>
      </x:c>
      <x:c r="C171" s="15" t="str">
        <x:v>Phase 2: 2/day</x:v>
      </x:c>
      <x:c r="D171" s="15" t="str">
        <x:v>Stack / Queue / Monotonic</x:v>
      </x:c>
      <x:c r="E171" s="15" t="str">
        <x:v>Hard</x:v>
      </x:c>
      <x:c r="F171" s="15" t="n">
        <x:v>32</x:v>
      </x:c>
      <x:c r="G171" s="15" t="str">
        <x:v>Longest Valid Parentheses</x:v>
      </x:c>
      <x:c r="H171" s="15" t="str">
        <x:v>https://leetcode.com/problems/longest-valid-parentheses/</x:v>
      </x:c>
      <x:c r="I171" s="15" t="str">
        <x:v>Not Started</x:v>
      </x:c>
      <x:c r="J171" s="39"/>
      <x:c r="K171" s="39"/>
      <x:c r="L171" s="39"/>
      <x:c r="M171" s="15" t="str"/>
      <x:c r="N171" s="15" t="str"/>
      <x:c r="O171" s="15" t="str"/>
      <x:c r="P171" s="15" t="str"/>
      <x:c r="Q171" s="15" t="str">
        <x:v>New Solve</x:v>
      </x:c>
    </x:row>
    <x:row r="172">
      <x:c r="A172" s="15" t="n">
        <x:v>171</x:v>
      </x:c>
      <x:c r="B172" s="39" t="n">
        <x:v>46327</x:v>
      </x:c>
      <x:c r="C172" s="15" t="str">
        <x:v>Phase 2: 2/day</x:v>
      </x:c>
      <x:c r="D172" s="15" t="str">
        <x:v>Stack / Queue / Monotonic</x:v>
      </x:c>
      <x:c r="E172" s="15" t="str">
        <x:v>Hard</x:v>
      </x:c>
      <x:c r="F172" s="15" t="n">
        <x:v>84</x:v>
      </x:c>
      <x:c r="G172" s="15" t="str">
        <x:v>Largest Rectangle in Histogram</x:v>
      </x:c>
      <x:c r="H172" s="15" t="str">
        <x:v>https://leetcode.com/problems/largest-rectangle-in-histogram/</x:v>
      </x:c>
      <x:c r="I172" s="15" t="str">
        <x:v>Not Started</x:v>
      </x:c>
      <x:c r="J172" s="39"/>
      <x:c r="K172" s="39"/>
      <x:c r="L172" s="39"/>
      <x:c r="M172" s="15" t="str"/>
      <x:c r="N172" s="15" t="str"/>
      <x:c r="O172" s="15" t="str"/>
      <x:c r="P172" s="15" t="str"/>
      <x:c r="Q172" s="15" t="str">
        <x:v>New Solve</x:v>
      </x:c>
    </x:row>
    <x:row r="173">
      <x:c r="A173" s="15" t="n">
        <x:v>172</x:v>
      </x:c>
      <x:c r="B173" s="39" t="n">
        <x:v>46327</x:v>
      </x:c>
      <x:c r="C173" s="15" t="str">
        <x:v>Phase 2: 2/day</x:v>
      </x:c>
      <x:c r="D173" s="15" t="str">
        <x:v>Stack / Queue / Monotonic</x:v>
      </x:c>
      <x:c r="E173" s="15" t="str">
        <x:v>Hard</x:v>
      </x:c>
      <x:c r="F173" s="15" t="n">
        <x:v>85</x:v>
      </x:c>
      <x:c r="G173" s="15" t="str">
        <x:v>Maximal Rectangle</x:v>
      </x:c>
      <x:c r="H173" s="15" t="str">
        <x:v>https://leetcode.com/problems/maximal-rectangle/</x:v>
      </x:c>
      <x:c r="I173" s="15" t="str">
        <x:v>Not Started</x:v>
      </x:c>
      <x:c r="J173" s="39"/>
      <x:c r="K173" s="39"/>
      <x:c r="L173" s="39"/>
      <x:c r="M173" s="15" t="str"/>
      <x:c r="N173" s="15" t="str"/>
      <x:c r="O173" s="15" t="str"/>
      <x:c r="P173" s="15" t="str"/>
      <x:c r="Q173" s="15" t="str">
        <x:v>New Solve</x:v>
      </x:c>
    </x:row>
    <x:row r="174">
      <x:c r="A174" s="15" t="n">
        <x:v>173</x:v>
      </x:c>
      <x:c r="B174" s="39" t="n">
        <x:v>46328</x:v>
      </x:c>
      <x:c r="C174" s="15" t="str">
        <x:v>Phase 2: 2/day</x:v>
      </x:c>
      <x:c r="D174" s="15" t="str">
        <x:v>Stack / Queue / Monotonic</x:v>
      </x:c>
      <x:c r="E174" s="15" t="str">
        <x:v>Hard</x:v>
      </x:c>
      <x:c r="F174" s="15" t="n">
        <x:v>224</x:v>
      </x:c>
      <x:c r="G174" s="15" t="str">
        <x:v>Basic Calculator</x:v>
      </x:c>
      <x:c r="H174" s="15" t="str">
        <x:v>https://leetcode.com/problems/basic-calculator/</x:v>
      </x:c>
      <x:c r="I174" s="15" t="str">
        <x:v>Not Started</x:v>
      </x:c>
      <x:c r="J174" s="39"/>
      <x:c r="K174" s="39"/>
      <x:c r="L174" s="39"/>
      <x:c r="M174" s="15" t="str"/>
      <x:c r="N174" s="15" t="str"/>
      <x:c r="O174" s="15" t="str"/>
      <x:c r="P174" s="15" t="str"/>
      <x:c r="Q174" s="15" t="str">
        <x:v>New Solve</x:v>
      </x:c>
    </x:row>
    <x:row r="175">
      <x:c r="A175" s="15" t="n">
        <x:v>174</x:v>
      </x:c>
      <x:c r="B175" s="39" t="n">
        <x:v>46328</x:v>
      </x:c>
      <x:c r="C175" s="15" t="str">
        <x:v>Phase 2: 2/day</x:v>
      </x:c>
      <x:c r="D175" s="15" t="str">
        <x:v>Stack / Queue / Monotonic</x:v>
      </x:c>
      <x:c r="E175" s="15" t="str">
        <x:v>Medium</x:v>
      </x:c>
      <x:c r="F175" s="15" t="n">
        <x:v>636</x:v>
      </x:c>
      <x:c r="G175" s="15" t="str">
        <x:v>Exclusive Time of Functions</x:v>
      </x:c>
      <x:c r="H175" s="15" t="str">
        <x:v>https://leetcode.com/problems/exclusive-time-of-functions/</x:v>
      </x:c>
      <x:c r="I175" s="15" t="str">
        <x:v>Not Started</x:v>
      </x:c>
      <x:c r="J175" s="39"/>
      <x:c r="K175" s="39"/>
      <x:c r="L175" s="39"/>
      <x:c r="M175" s="15" t="str"/>
      <x:c r="N175" s="15" t="str"/>
      <x:c r="O175" s="15" t="str"/>
      <x:c r="P175" s="15" t="str"/>
      <x:c r="Q175" s="15" t="str">
        <x:v>New Solve</x:v>
      </x:c>
    </x:row>
    <x:row r="176">
      <x:c r="A176" s="15" t="n">
        <x:v>175</x:v>
      </x:c>
      <x:c r="B176" s="39" t="n">
        <x:v>46329</x:v>
      </x:c>
      <x:c r="C176" s="15" t="str">
        <x:v>Phase 2: 2/day</x:v>
      </x:c>
      <x:c r="D176" s="15" t="str">
        <x:v>Stack / Queue / Monotonic</x:v>
      </x:c>
      <x:c r="E176" s="15" t="str">
        <x:v>Medium</x:v>
      </x:c>
      <x:c r="F176" s="15" t="n">
        <x:v>921</x:v>
      </x:c>
      <x:c r="G176" s="15" t="str">
        <x:v>Minimum Add to Make Parentheses Valid</x:v>
      </x:c>
      <x:c r="H176" s="15" t="str">
        <x:v>https://leetcode.com/problems/minimum-add-to-make-parentheses-valid/</x:v>
      </x:c>
      <x:c r="I176" s="15" t="str">
        <x:v>Not Started</x:v>
      </x:c>
      <x:c r="J176" s="39"/>
      <x:c r="K176" s="39"/>
      <x:c r="L176" s="39"/>
      <x:c r="M176" s="15" t="str"/>
      <x:c r="N176" s="15" t="str"/>
      <x:c r="O176" s="15" t="str"/>
      <x:c r="P176" s="15" t="str"/>
      <x:c r="Q176" s="15" t="str">
        <x:v>New Solve</x:v>
      </x:c>
    </x:row>
    <x:row r="177">
      <x:c r="A177" s="15" t="n">
        <x:v>176</x:v>
      </x:c>
      <x:c r="B177" s="39" t="n">
        <x:v>46329</x:v>
      </x:c>
      <x:c r="C177" s="15" t="str">
        <x:v>Phase 2: 2/day</x:v>
      </x:c>
      <x:c r="D177" s="15" t="str">
        <x:v>Stack / Queue / Monotonic</x:v>
      </x:c>
      <x:c r="E177" s="15" t="str">
        <x:v>Medium</x:v>
      </x:c>
      <x:c r="F177" s="15" t="n">
        <x:v>1249</x:v>
      </x:c>
      <x:c r="G177" s="15" t="str">
        <x:v>Minimum Remove to Make Valid Parentheses</x:v>
      </x:c>
      <x:c r="H177" s="15" t="str">
        <x:v>https://leetcode.com/problems/minimum-remove-to-make-valid-parentheses/</x:v>
      </x:c>
      <x:c r="I177" s="15" t="str">
        <x:v>Not Started</x:v>
      </x:c>
      <x:c r="J177" s="39"/>
      <x:c r="K177" s="39"/>
      <x:c r="L177" s="39"/>
      <x:c r="M177" s="15" t="str"/>
      <x:c r="N177" s="15" t="str"/>
      <x:c r="O177" s="15" t="str"/>
      <x:c r="P177" s="15" t="str"/>
      <x:c r="Q177" s="15" t="str">
        <x:v>New Solve</x:v>
      </x:c>
    </x:row>
    <x:row r="178">
      <x:c r="A178" s="15" t="n">
        <x:v>177</x:v>
      </x:c>
      <x:c r="B178" s="39" t="n">
        <x:v>46330</x:v>
      </x:c>
      <x:c r="C178" s="15" t="str">
        <x:v>Phase 2: 2/day</x:v>
      </x:c>
      <x:c r="D178" s="15" t="str">
        <x:v>Stack / Queue / Monotonic</x:v>
      </x:c>
      <x:c r="E178" s="15" t="str">
        <x:v>Medium</x:v>
      </x:c>
      <x:c r="F178" s="15" t="n">
        <x:v>1209</x:v>
      </x:c>
      <x:c r="G178" s="15" t="str">
        <x:v>Remove All Adjacent Duplicates in String II</x:v>
      </x:c>
      <x:c r="H178" s="15" t="str">
        <x:v>https://leetcode.com/problems/remove-all-adjacent-duplicates-in-string-ii/</x:v>
      </x:c>
      <x:c r="I178" s="15" t="str">
        <x:v>Not Started</x:v>
      </x:c>
      <x:c r="J178" s="39"/>
      <x:c r="K178" s="39"/>
      <x:c r="L178" s="39"/>
      <x:c r="M178" s="15" t="str"/>
      <x:c r="N178" s="15" t="str"/>
      <x:c r="O178" s="15" t="str"/>
      <x:c r="P178" s="15" t="str"/>
      <x:c r="Q178" s="15" t="str">
        <x:v>New Solve</x:v>
      </x:c>
    </x:row>
    <x:row r="179">
      <x:c r="A179" s="15" t="n">
        <x:v>178</x:v>
      </x:c>
      <x:c r="B179" s="39" t="n">
        <x:v>46330</x:v>
      </x:c>
      <x:c r="C179" s="15" t="str">
        <x:v>Phase 2: 2/day</x:v>
      </x:c>
      <x:c r="D179" s="15" t="str">
        <x:v>Stack / Queue / Monotonic</x:v>
      </x:c>
      <x:c r="E179" s="15" t="str">
        <x:v>Medium</x:v>
      </x:c>
      <x:c r="F179" s="15" t="n">
        <x:v>1003</x:v>
      </x:c>
      <x:c r="G179" s="15" t="str">
        <x:v>Check If Word Is Valid After Substitutions</x:v>
      </x:c>
      <x:c r="H179" s="15" t="str">
        <x:v>https://leetcode.com/problems/check-if-word-is-valid-after-substitutions/</x:v>
      </x:c>
      <x:c r="I179" s="15" t="str">
        <x:v>Not Started</x:v>
      </x:c>
      <x:c r="J179" s="39"/>
      <x:c r="K179" s="39"/>
      <x:c r="L179" s="39"/>
      <x:c r="M179" s="15" t="str"/>
      <x:c r="N179" s="15" t="str"/>
      <x:c r="O179" s="15" t="str"/>
      <x:c r="P179" s="15" t="str"/>
      <x:c r="Q179" s="15" t="str">
        <x:v>New Solve</x:v>
      </x:c>
    </x:row>
    <x:row r="180">
      <x:c r="A180" s="15" t="n">
        <x:v>179</x:v>
      </x:c>
      <x:c r="B180" s="39" t="n">
        <x:v>46331</x:v>
      </x:c>
      <x:c r="C180" s="15" t="str">
        <x:v>Phase 2: 2/day</x:v>
      </x:c>
      <x:c r="D180" s="15" t="str">
        <x:v>Stack / Queue / Monotonic</x:v>
      </x:c>
      <x:c r="E180" s="15" t="str">
        <x:v>Medium</x:v>
      </x:c>
      <x:c r="F180" s="15" t="n">
        <x:v>1381</x:v>
      </x:c>
      <x:c r="G180" s="15" t="str">
        <x:v>Design a Stack With Increment Operation</x:v>
      </x:c>
      <x:c r="H180" s="15" t="str">
        <x:v>https://leetcode.com/problems/design-a-stack-with-increment-operation/</x:v>
      </x:c>
      <x:c r="I180" s="15" t="str">
        <x:v>Not Started</x:v>
      </x:c>
      <x:c r="J180" s="39"/>
      <x:c r="K180" s="39"/>
      <x:c r="L180" s="39"/>
      <x:c r="M180" s="15" t="str"/>
      <x:c r="N180" s="15" t="str"/>
      <x:c r="O180" s="15" t="str"/>
      <x:c r="P180" s="15" t="str"/>
      <x:c r="Q180" s="15" t="str">
        <x:v>New Solve</x:v>
      </x:c>
    </x:row>
    <x:row r="181">
      <x:c r="A181" s="15" t="n">
        <x:v>180</x:v>
      </x:c>
      <x:c r="B181" s="39" t="n">
        <x:v>46331</x:v>
      </x:c>
      <x:c r="C181" s="15" t="str">
        <x:v>Phase 2: 2/day</x:v>
      </x:c>
      <x:c r="D181" s="15" t="str">
        <x:v>Stack / Queue / Monotonic</x:v>
      </x:c>
      <x:c r="E181" s="15" t="str">
        <x:v>Easy</x:v>
      </x:c>
      <x:c r="F181" s="15" t="n">
        <x:v>1475</x:v>
      </x:c>
      <x:c r="G181" s="15" t="str">
        <x:v>Final Prices With a Special Discount in a Shop</x:v>
      </x:c>
      <x:c r="H181" s="15" t="str">
        <x:v>https://leetcode.com/problems/final-prices-with-a-special-discount-in-a-shop/</x:v>
      </x:c>
      <x:c r="I181" s="15" t="str">
        <x:v>Not Started</x:v>
      </x:c>
      <x:c r="J181" s="39"/>
      <x:c r="K181" s="39"/>
      <x:c r="L181" s="39"/>
      <x:c r="M181" s="15" t="str"/>
      <x:c r="N181" s="15" t="str"/>
      <x:c r="O181" s="15" t="str"/>
      <x:c r="P181" s="15" t="str"/>
      <x:c r="Q181" s="15" t="str">
        <x:v>New Solve</x:v>
      </x:c>
    </x:row>
    <x:row r="182">
      <x:c r="A182" s="15" t="n">
        <x:v>181</x:v>
      </x:c>
      <x:c r="B182" s="39"/>
      <x:c r="C182" s="15" t="str">
        <x:v>Already solved - revise</x:v>
      </x:c>
      <x:c r="D182" s="15" t="str">
        <x:v>Binary Search</x:v>
      </x:c>
      <x:c r="E182" s="15" t="str">
        <x:v>Easy</x:v>
      </x:c>
      <x:c r="F182" s="15" t="n">
        <x:v>704</x:v>
      </x:c>
      <x:c r="G182" s="15" t="str">
        <x:v>Binary Search</x:v>
      </x:c>
      <x:c r="H182" s="15" t="str">
        <x:v>https://leetcode.com/problems/binary-search/</x:v>
      </x:c>
      <x:c r="I182" s="15" t="str">
        <x:v>Done</x:v>
      </x:c>
      <x:c r="J182" s="39"/>
      <x:c r="K182" s="39"/>
      <x:c r="L182" s="39"/>
      <x:c r="M182" s="15" t="str"/>
      <x:c r="N182" s="15" t="str"/>
      <x:c r="O182" s="15" t="str"/>
      <x:c r="P182" s="15" t="str"/>
      <x:c r="Q182" s="15" t="str">
        <x:v>Revision / Confirmed</x:v>
      </x:c>
    </x:row>
    <x:row r="183">
      <x:c r="A183" s="15" t="n">
        <x:v>182</x:v>
      </x:c>
      <x:c r="B183" s="39" t="n">
        <x:v>46332</x:v>
      </x:c>
      <x:c r="C183" s="15" t="str">
        <x:v>Phase 2: 2/day</x:v>
      </x:c>
      <x:c r="D183" s="15" t="str">
        <x:v>Binary Search</x:v>
      </x:c>
      <x:c r="E183" s="15" t="str">
        <x:v>Easy</x:v>
      </x:c>
      <x:c r="F183" s="15" t="n">
        <x:v>35</x:v>
      </x:c>
      <x:c r="G183" s="15" t="str">
        <x:v>Search Insert Position</x:v>
      </x:c>
      <x:c r="H183" s="15" t="str">
        <x:v>https://leetcode.com/problems/search-insert-position/</x:v>
      </x:c>
      <x:c r="I183" s="15" t="str">
        <x:v>Not Started</x:v>
      </x:c>
      <x:c r="J183" s="39"/>
      <x:c r="K183" s="39"/>
      <x:c r="L183" s="39"/>
      <x:c r="M183" s="15" t="str"/>
      <x:c r="N183" s="15" t="str"/>
      <x:c r="O183" s="15" t="str"/>
      <x:c r="P183" s="15" t="str"/>
      <x:c r="Q183" s="15" t="str">
        <x:v>New Solve</x:v>
      </x:c>
    </x:row>
    <x:row r="184">
      <x:c r="A184" s="15" t="n">
        <x:v>183</x:v>
      </x:c>
      <x:c r="B184" s="39" t="n">
        <x:v>46332</x:v>
      </x:c>
      <x:c r="C184" s="15" t="str">
        <x:v>Phase 2: 2/day</x:v>
      </x:c>
      <x:c r="D184" s="15" t="str">
        <x:v>Binary Search</x:v>
      </x:c>
      <x:c r="E184" s="15" t="str">
        <x:v>Easy</x:v>
      </x:c>
      <x:c r="F184" s="15" t="n">
        <x:v>69</x:v>
      </x:c>
      <x:c r="G184" s="15" t="str">
        <x:v>Sqrt(x)</x:v>
      </x:c>
      <x:c r="H184" s="15" t="str">
        <x:v>https://leetcode.com/problems/sqrt-x/</x:v>
      </x:c>
      <x:c r="I184" s="15" t="str">
        <x:v>Not Started</x:v>
      </x:c>
      <x:c r="J184" s="39"/>
      <x:c r="K184" s="39"/>
      <x:c r="L184" s="39"/>
      <x:c r="M184" s="15" t="str"/>
      <x:c r="N184" s="15" t="str"/>
      <x:c r="O184" s="15" t="str"/>
      <x:c r="P184" s="15" t="str"/>
      <x:c r="Q184" s="15" t="str">
        <x:v>New Solve</x:v>
      </x:c>
    </x:row>
    <x:row r="185">
      <x:c r="A185" s="15" t="n">
        <x:v>184</x:v>
      </x:c>
      <x:c r="B185" s="39" t="n">
        <x:v>46333</x:v>
      </x:c>
      <x:c r="C185" s="15" t="str">
        <x:v>Phase 2: 2/day</x:v>
      </x:c>
      <x:c r="D185" s="15" t="str">
        <x:v>Binary Search</x:v>
      </x:c>
      <x:c r="E185" s="15" t="str">
        <x:v>Easy</x:v>
      </x:c>
      <x:c r="F185" s="15" t="n">
        <x:v>278</x:v>
      </x:c>
      <x:c r="G185" s="15" t="str">
        <x:v>First Bad Version</x:v>
      </x:c>
      <x:c r="H185" s="15" t="str">
        <x:v>https://leetcode.com/problems/first-bad-version/</x:v>
      </x:c>
      <x:c r="I185" s="15" t="str">
        <x:v>Not Started</x:v>
      </x:c>
      <x:c r="J185" s="39"/>
      <x:c r="K185" s="39"/>
      <x:c r="L185" s="39"/>
      <x:c r="M185" s="15" t="str"/>
      <x:c r="N185" s="15" t="str"/>
      <x:c r="O185" s="15" t="str"/>
      <x:c r="P185" s="15" t="str"/>
      <x:c r="Q185" s="15" t="str">
        <x:v>New Solve</x:v>
      </x:c>
    </x:row>
    <x:row r="186">
      <x:c r="A186" s="15" t="n">
        <x:v>185</x:v>
      </x:c>
      <x:c r="B186" s="39" t="n">
        <x:v>46333</x:v>
      </x:c>
      <x:c r="C186" s="15" t="str">
        <x:v>Phase 2: 2/day</x:v>
      </x:c>
      <x:c r="D186" s="15" t="str">
        <x:v>Binary Search</x:v>
      </x:c>
      <x:c r="E186" s="15" t="str">
        <x:v>Easy</x:v>
      </x:c>
      <x:c r="F186" s="15" t="n">
        <x:v>374</x:v>
      </x:c>
      <x:c r="G186" s="15" t="str">
        <x:v>Guess Number Higher or Lower</x:v>
      </x:c>
      <x:c r="H186" s="15" t="str">
        <x:v>https://leetcode.com/problems/guess-number-higher-or-lower/</x:v>
      </x:c>
      <x:c r="I186" s="15" t="str">
        <x:v>Not Started</x:v>
      </x:c>
      <x:c r="J186" s="39"/>
      <x:c r="K186" s="39"/>
      <x:c r="L186" s="39"/>
      <x:c r="M186" s="15" t="str"/>
      <x:c r="N186" s="15" t="str"/>
      <x:c r="O186" s="15" t="str"/>
      <x:c r="P186" s="15" t="str"/>
      <x:c r="Q186" s="15" t="str">
        <x:v>New Solve</x:v>
      </x:c>
    </x:row>
    <x:row r="187">
      <x:c r="A187" s="15" t="n">
        <x:v>186</x:v>
      </x:c>
      <x:c r="B187" s="39" t="n">
        <x:v>46334</x:v>
      </x:c>
      <x:c r="C187" s="15" t="str">
        <x:v>Phase 2: 2/day</x:v>
      </x:c>
      <x:c r="D187" s="15" t="str">
        <x:v>Binary Search</x:v>
      </x:c>
      <x:c r="E187" s="15" t="str">
        <x:v>Medium</x:v>
      </x:c>
      <x:c r="F187" s="15" t="n">
        <x:v>33</x:v>
      </x:c>
      <x:c r="G187" s="15" t="str">
        <x:v>Search in Rotated Sorted Array</x:v>
      </x:c>
      <x:c r="H187" s="15" t="str">
        <x:v>https://leetcode.com/problems/search-in-rotated-sorted-array/</x:v>
      </x:c>
      <x:c r="I187" s="15" t="str">
        <x:v>Not Started</x:v>
      </x:c>
      <x:c r="J187" s="39"/>
      <x:c r="K187" s="39"/>
      <x:c r="L187" s="39"/>
      <x:c r="M187" s="15" t="str"/>
      <x:c r="N187" s="15" t="str"/>
      <x:c r="O187" s="15" t="str"/>
      <x:c r="P187" s="15" t="str"/>
      <x:c r="Q187" s="15" t="str">
        <x:v>New Solve</x:v>
      </x:c>
    </x:row>
    <x:row r="188">
      <x:c r="A188" s="15" t="n">
        <x:v>187</x:v>
      </x:c>
      <x:c r="B188" s="39" t="n">
        <x:v>46334</x:v>
      </x:c>
      <x:c r="C188" s="15" t="str">
        <x:v>Phase 2: 2/day</x:v>
      </x:c>
      <x:c r="D188" s="15" t="str">
        <x:v>Binary Search</x:v>
      </x:c>
      <x:c r="E188" s="15" t="str">
        <x:v>Medium</x:v>
      </x:c>
      <x:c r="F188" s="15" t="n">
        <x:v>34</x:v>
      </x:c>
      <x:c r="G188" s="15" t="str">
        <x:v>Find First and Last Position of Element in Sorted Array</x:v>
      </x:c>
      <x:c r="H188" s="15" t="str">
        <x:v>https://leetcode.com/problems/find-first-and-last-position-of-element-in-sorted-array/</x:v>
      </x:c>
      <x:c r="I188" s="15" t="str">
        <x:v>Not Started</x:v>
      </x:c>
      <x:c r="J188" s="39"/>
      <x:c r="K188" s="39"/>
      <x:c r="L188" s="39"/>
      <x:c r="M188" s="15" t="str"/>
      <x:c r="N188" s="15" t="str"/>
      <x:c r="O188" s="15" t="str"/>
      <x:c r="P188" s="15" t="str"/>
      <x:c r="Q188" s="15" t="str">
        <x:v>New Solve</x:v>
      </x:c>
    </x:row>
    <x:row r="189">
      <x:c r="A189" s="15" t="n">
        <x:v>188</x:v>
      </x:c>
      <x:c r="B189" s="39" t="n">
        <x:v>46335</x:v>
      </x:c>
      <x:c r="C189" s="15" t="str">
        <x:v>Phase 2: 2/day</x:v>
      </x:c>
      <x:c r="D189" s="15" t="str">
        <x:v>Binary Search</x:v>
      </x:c>
      <x:c r="E189" s="15" t="str">
        <x:v>Medium</x:v>
      </x:c>
      <x:c r="F189" s="15" t="n">
        <x:v>74</x:v>
      </x:c>
      <x:c r="G189" s="15" t="str">
        <x:v>Search a 2D Matrix</x:v>
      </x:c>
      <x:c r="H189" s="15" t="str">
        <x:v>https://leetcode.com/problems/search-a-2d-matrix/</x:v>
      </x:c>
      <x:c r="I189" s="15" t="str">
        <x:v>Not Started</x:v>
      </x:c>
      <x:c r="J189" s="39"/>
      <x:c r="K189" s="39"/>
      <x:c r="L189" s="39"/>
      <x:c r="M189" s="15" t="str"/>
      <x:c r="N189" s="15" t="str"/>
      <x:c r="O189" s="15" t="str"/>
      <x:c r="P189" s="15" t="str"/>
      <x:c r="Q189" s="15" t="str">
        <x:v>New Solve</x:v>
      </x:c>
    </x:row>
    <x:row r="190">
      <x:c r="A190" s="15" t="n">
        <x:v>189</x:v>
      </x:c>
      <x:c r="B190" s="39"/>
      <x:c r="C190" s="15" t="str">
        <x:v>Already solved - revise</x:v>
      </x:c>
      <x:c r="D190" s="15" t="str">
        <x:v>Binary Search</x:v>
      </x:c>
      <x:c r="E190" s="15" t="str">
        <x:v>Medium</x:v>
      </x:c>
      <x:c r="F190" s="15" t="n">
        <x:v>153</x:v>
      </x:c>
      <x:c r="G190" s="15" t="str">
        <x:v>Find Minimum in Rotated Sorted Array</x:v>
      </x:c>
      <x:c r="H190" s="15" t="str">
        <x:v>https://leetcode.com/problems/find-minimum-in-rotated-sorted-array/</x:v>
      </x:c>
      <x:c r="I190" s="15" t="str">
        <x:v>Done</x:v>
      </x:c>
      <x:c r="J190" s="39"/>
      <x:c r="K190" s="39"/>
      <x:c r="L190" s="39"/>
      <x:c r="M190" s="15" t="str"/>
      <x:c r="N190" s="15" t="str"/>
      <x:c r="O190" s="15" t="str"/>
      <x:c r="P190" s="15" t="str"/>
      <x:c r="Q190" s="15" t="str">
        <x:v>Revision / Confirmed</x:v>
      </x:c>
    </x:row>
    <x:row r="191">
      <x:c r="A191" s="15" t="n">
        <x:v>190</x:v>
      </x:c>
      <x:c r="B191" s="39" t="n">
        <x:v>46335</x:v>
      </x:c>
      <x:c r="C191" s="15" t="str">
        <x:v>Phase 2: 2/day</x:v>
      </x:c>
      <x:c r="D191" s="15" t="str">
        <x:v>Binary Search</x:v>
      </x:c>
      <x:c r="E191" s="15" t="str">
        <x:v>Hard</x:v>
      </x:c>
      <x:c r="F191" s="15" t="n">
        <x:v>154</x:v>
      </x:c>
      <x:c r="G191" s="15" t="str">
        <x:v>Find Minimum in Rotated Sorted Array II</x:v>
      </x:c>
      <x:c r="H191" s="15" t="str">
        <x:v>https://leetcode.com/problems/find-minimum-in-rotated-sorted-array-ii/</x:v>
      </x:c>
      <x:c r="I191" s="15" t="str">
        <x:v>Not Started</x:v>
      </x:c>
      <x:c r="J191" s="39"/>
      <x:c r="K191" s="39"/>
      <x:c r="L191" s="39"/>
      <x:c r="M191" s="15" t="str"/>
      <x:c r="N191" s="15" t="str"/>
      <x:c r="O191" s="15" t="str"/>
      <x:c r="P191" s="15" t="str"/>
      <x:c r="Q191" s="15" t="str">
        <x:v>New Solve</x:v>
      </x:c>
    </x:row>
    <x:row r="192">
      <x:c r="A192" s="15" t="n">
        <x:v>191</x:v>
      </x:c>
      <x:c r="B192" s="39" t="n">
        <x:v>46336</x:v>
      </x:c>
      <x:c r="C192" s="15" t="str">
        <x:v>Phase 2: 2/day</x:v>
      </x:c>
      <x:c r="D192" s="15" t="str">
        <x:v>Binary Search</x:v>
      </x:c>
      <x:c r="E192" s="15" t="str">
        <x:v>Medium</x:v>
      </x:c>
      <x:c r="F192" s="15" t="n">
        <x:v>162</x:v>
      </x:c>
      <x:c r="G192" s="15" t="str">
        <x:v>Find Peak Element</x:v>
      </x:c>
      <x:c r="H192" s="15" t="str">
        <x:v>https://leetcode.com/problems/find-peak-element/</x:v>
      </x:c>
      <x:c r="I192" s="15" t="str">
        <x:v>Not Started</x:v>
      </x:c>
      <x:c r="J192" s="39"/>
      <x:c r="K192" s="39"/>
      <x:c r="L192" s="39"/>
      <x:c r="M192" s="15" t="str"/>
      <x:c r="N192" s="15" t="str"/>
      <x:c r="O192" s="15" t="str"/>
      <x:c r="P192" s="15" t="str"/>
      <x:c r="Q192" s="15" t="str">
        <x:v>New Solve</x:v>
      </x:c>
    </x:row>
    <x:row r="193">
      <x:c r="A193" s="15" t="n">
        <x:v>192</x:v>
      </x:c>
      <x:c r="B193" s="39" t="n">
        <x:v>46336</x:v>
      </x:c>
      <x:c r="C193" s="15" t="str">
        <x:v>Phase 2: 2/day</x:v>
      </x:c>
      <x:c r="D193" s="15" t="str">
        <x:v>Binary Search</x:v>
      </x:c>
      <x:c r="E193" s="15" t="str">
        <x:v>Medium</x:v>
      </x:c>
      <x:c r="F193" s="15" t="n">
        <x:v>240</x:v>
      </x:c>
      <x:c r="G193" s="15" t="str">
        <x:v>Search a 2D Matrix II</x:v>
      </x:c>
      <x:c r="H193" s="15" t="str">
        <x:v>https://leetcode.com/problems/search-a-2d-matrix-ii/</x:v>
      </x:c>
      <x:c r="I193" s="15" t="str">
        <x:v>Not Started</x:v>
      </x:c>
      <x:c r="J193" s="39"/>
      <x:c r="K193" s="39"/>
      <x:c r="L193" s="39"/>
      <x:c r="M193" s="15" t="str"/>
      <x:c r="N193" s="15" t="str"/>
      <x:c r="O193" s="15" t="str"/>
      <x:c r="P193" s="15" t="str"/>
      <x:c r="Q193" s="15" t="str">
        <x:v>New Solve</x:v>
      </x:c>
    </x:row>
    <x:row r="194">
      <x:c r="A194" s="15" t="n">
        <x:v>193</x:v>
      </x:c>
      <x:c r="B194" s="39" t="n">
        <x:v>46337</x:v>
      </x:c>
      <x:c r="C194" s="15" t="str">
        <x:v>Phase 2: 2/day</x:v>
      </x:c>
      <x:c r="D194" s="15" t="str">
        <x:v>Binary Search</x:v>
      </x:c>
      <x:c r="E194" s="15" t="str">
        <x:v>Medium</x:v>
      </x:c>
      <x:c r="F194" s="15" t="n">
        <x:v>275</x:v>
      </x:c>
      <x:c r="G194" s="15" t="str">
        <x:v>H-Index II</x:v>
      </x:c>
      <x:c r="H194" s="15" t="str">
        <x:v>https://leetcode.com/problems/h-index-ii/</x:v>
      </x:c>
      <x:c r="I194" s="15" t="str">
        <x:v>Not Started</x:v>
      </x:c>
      <x:c r="J194" s="39"/>
      <x:c r="K194" s="39"/>
      <x:c r="L194" s="39"/>
      <x:c r="M194" s="15" t="str"/>
      <x:c r="N194" s="15" t="str"/>
      <x:c r="O194" s="15" t="str"/>
      <x:c r="P194" s="15" t="str"/>
      <x:c r="Q194" s="15" t="str">
        <x:v>New Solve</x:v>
      </x:c>
    </x:row>
    <x:row r="195">
      <x:c r="A195" s="15" t="n">
        <x:v>194</x:v>
      </x:c>
      <x:c r="B195" s="39" t="n">
        <x:v>46337</x:v>
      </x:c>
      <x:c r="C195" s="15" t="str">
        <x:v>Phase 2: 2/day</x:v>
      </x:c>
      <x:c r="D195" s="15" t="str">
        <x:v>Binary Search</x:v>
      </x:c>
      <x:c r="E195" s="15" t="str">
        <x:v>Easy</x:v>
      </x:c>
      <x:c r="F195" s="15" t="n">
        <x:v>367</x:v>
      </x:c>
      <x:c r="G195" s="15" t="str">
        <x:v>Valid Perfect Square</x:v>
      </x:c>
      <x:c r="H195" s="15" t="str">
        <x:v>https://leetcode.com/problems/valid-perfect-square/</x:v>
      </x:c>
      <x:c r="I195" s="15" t="str">
        <x:v>Not Started</x:v>
      </x:c>
      <x:c r="J195" s="39"/>
      <x:c r="K195" s="39"/>
      <x:c r="L195" s="39"/>
      <x:c r="M195" s="15" t="str"/>
      <x:c r="N195" s="15" t="str"/>
      <x:c r="O195" s="15" t="str"/>
      <x:c r="P195" s="15" t="str"/>
      <x:c r="Q195" s="15" t="str">
        <x:v>New Solve</x:v>
      </x:c>
    </x:row>
    <x:row r="196">
      <x:c r="A196" s="15" t="n">
        <x:v>195</x:v>
      </x:c>
      <x:c r="B196" s="39" t="n">
        <x:v>46338</x:v>
      </x:c>
      <x:c r="C196" s="15" t="str">
        <x:v>Phase 2: 2/day</x:v>
      </x:c>
      <x:c r="D196" s="15" t="str">
        <x:v>Binary Search</x:v>
      </x:c>
      <x:c r="E196" s="15" t="str">
        <x:v>Medium</x:v>
      </x:c>
      <x:c r="F196" s="15" t="n">
        <x:v>378</x:v>
      </x:c>
      <x:c r="G196" s="15" t="str">
        <x:v>Kth Smallest Element in a Sorted Matrix</x:v>
      </x:c>
      <x:c r="H196" s="15" t="str">
        <x:v>https://leetcode.com/problems/kth-smallest-element-in-a-sorted-matrix/</x:v>
      </x:c>
      <x:c r="I196" s="15" t="str">
        <x:v>Not Started</x:v>
      </x:c>
      <x:c r="J196" s="39"/>
      <x:c r="K196" s="39"/>
      <x:c r="L196" s="39"/>
      <x:c r="M196" s="15" t="str"/>
      <x:c r="N196" s="15" t="str"/>
      <x:c r="O196" s="15" t="str"/>
      <x:c r="P196" s="15" t="str"/>
      <x:c r="Q196" s="15" t="str">
        <x:v>New Solve</x:v>
      </x:c>
    </x:row>
    <x:row r="197">
      <x:c r="A197" s="15" t="n">
        <x:v>196</x:v>
      </x:c>
      <x:c r="B197" s="39" t="n">
        <x:v>46338</x:v>
      </x:c>
      <x:c r="C197" s="15" t="str">
        <x:v>Phase 2: 2/day</x:v>
      </x:c>
      <x:c r="D197" s="15" t="str">
        <x:v>Binary Search</x:v>
      </x:c>
      <x:c r="E197" s="15" t="str">
        <x:v>Hard</x:v>
      </x:c>
      <x:c r="F197" s="15" t="n">
        <x:v>410</x:v>
      </x:c>
      <x:c r="G197" s="15" t="str">
        <x:v>Split Array Largest Sum</x:v>
      </x:c>
      <x:c r="H197" s="15" t="str">
        <x:v>https://leetcode.com/problems/split-array-largest-sum/</x:v>
      </x:c>
      <x:c r="I197" s="15" t="str">
        <x:v>Not Started</x:v>
      </x:c>
      <x:c r="J197" s="39"/>
      <x:c r="K197" s="39"/>
      <x:c r="L197" s="39"/>
      <x:c r="M197" s="15" t="str"/>
      <x:c r="N197" s="15" t="str"/>
      <x:c r="O197" s="15" t="str"/>
      <x:c r="P197" s="15" t="str"/>
      <x:c r="Q197" s="15" t="str">
        <x:v>New Solve</x:v>
      </x:c>
    </x:row>
    <x:row r="198">
      <x:c r="A198" s="15" t="n">
        <x:v>197</x:v>
      </x:c>
      <x:c r="B198" s="39" t="n">
        <x:v>46339</x:v>
      </x:c>
      <x:c r="C198" s="15" t="str">
        <x:v>Phase 2: 2/day</x:v>
      </x:c>
      <x:c r="D198" s="15" t="str">
        <x:v>Binary Search</x:v>
      </x:c>
      <x:c r="E198" s="15" t="str">
        <x:v>Medium</x:v>
      </x:c>
      <x:c r="F198" s="15" t="n">
        <x:v>540</x:v>
      </x:c>
      <x:c r="G198" s="15" t="str">
        <x:v>Single Element in a Sorted Array</x:v>
      </x:c>
      <x:c r="H198" s="15" t="str">
        <x:v>https://leetcode.com/problems/single-element-in-a-sorted-array/</x:v>
      </x:c>
      <x:c r="I198" s="15" t="str">
        <x:v>Not Started</x:v>
      </x:c>
      <x:c r="J198" s="39"/>
      <x:c r="K198" s="39"/>
      <x:c r="L198" s="39"/>
      <x:c r="M198" s="15" t="str"/>
      <x:c r="N198" s="15" t="str"/>
      <x:c r="O198" s="15" t="str"/>
      <x:c r="P198" s="15" t="str"/>
      <x:c r="Q198" s="15" t="str">
        <x:v>New Solve</x:v>
      </x:c>
    </x:row>
    <x:row r="199">
      <x:c r="A199" s="15" t="n">
        <x:v>198</x:v>
      </x:c>
      <x:c r="B199" s="39" t="n">
        <x:v>46339</x:v>
      </x:c>
      <x:c r="C199" s="15" t="str">
        <x:v>Phase 2: 2/day</x:v>
      </x:c>
      <x:c r="D199" s="15" t="str">
        <x:v>Binary Search</x:v>
      </x:c>
      <x:c r="E199" s="15" t="str">
        <x:v>Medium</x:v>
      </x:c>
      <x:c r="F199" s="15" t="n">
        <x:v>658</x:v>
      </x:c>
      <x:c r="G199" s="15" t="str">
        <x:v>Find K Closest Elements</x:v>
      </x:c>
      <x:c r="H199" s="15" t="str">
        <x:v>https://leetcode.com/problems/find-k-closest-elements/</x:v>
      </x:c>
      <x:c r="I199" s="15" t="str">
        <x:v>Not Started</x:v>
      </x:c>
      <x:c r="J199" s="39"/>
      <x:c r="K199" s="39"/>
      <x:c r="L199" s="39"/>
      <x:c r="M199" s="15" t="str"/>
      <x:c r="N199" s="15" t="str"/>
      <x:c r="O199" s="15" t="str"/>
      <x:c r="P199" s="15" t="str"/>
      <x:c r="Q199" s="15" t="str">
        <x:v>New Solve</x:v>
      </x:c>
    </x:row>
    <x:row r="200">
      <x:c r="A200" s="15" t="n">
        <x:v>199</x:v>
      </x:c>
      <x:c r="B200" s="39" t="n">
        <x:v>46340</x:v>
      </x:c>
      <x:c r="C200" s="15" t="str">
        <x:v>Phase 2: 2/day</x:v>
      </x:c>
      <x:c r="D200" s="15" t="str">
        <x:v>Binary Search</x:v>
      </x:c>
      <x:c r="E200" s="15" t="str">
        <x:v>Hard</x:v>
      </x:c>
      <x:c r="F200" s="15" t="n">
        <x:v>668</x:v>
      </x:c>
      <x:c r="G200" s="15" t="str">
        <x:v>Kth Smallest Number in Multiplication Table</x:v>
      </x:c>
      <x:c r="H200" s="15" t="str">
        <x:v>https://leetcode.com/problems/kth-smallest-number-in-multiplication-table/</x:v>
      </x:c>
      <x:c r="I200" s="15" t="str">
        <x:v>Not Started</x:v>
      </x:c>
      <x:c r="J200" s="39"/>
      <x:c r="K200" s="39"/>
      <x:c r="L200" s="39"/>
      <x:c r="M200" s="15" t="str"/>
      <x:c r="N200" s="15" t="str"/>
      <x:c r="O200" s="15" t="str"/>
      <x:c r="P200" s="15" t="str"/>
      <x:c r="Q200" s="15" t="str">
        <x:v>New Solve</x:v>
      </x:c>
    </x:row>
    <x:row r="201">
      <x:c r="A201" s="15" t="n">
        <x:v>200</x:v>
      </x:c>
      <x:c r="B201" s="39" t="n">
        <x:v>46340</x:v>
      </x:c>
      <x:c r="C201" s="15" t="str">
        <x:v>Phase 2: 2/day</x:v>
      </x:c>
      <x:c r="D201" s="15" t="str">
        <x:v>Binary Search</x:v>
      </x:c>
      <x:c r="E201" s="15" t="str">
        <x:v>Easy</x:v>
      </x:c>
      <x:c r="F201" s="15" t="n">
        <x:v>744</x:v>
      </x:c>
      <x:c r="G201" s="15" t="str">
        <x:v>Find Smallest Letter Greater Than Target</x:v>
      </x:c>
      <x:c r="H201" s="15" t="str">
        <x:v>https://leetcode.com/problems/find-smallest-letter-greater-than-target/</x:v>
      </x:c>
      <x:c r="I201" s="15" t="str">
        <x:v>Not Started</x:v>
      </x:c>
      <x:c r="J201" s="39"/>
      <x:c r="K201" s="39"/>
      <x:c r="L201" s="39"/>
      <x:c r="M201" s="15" t="str"/>
      <x:c r="N201" s="15" t="str"/>
      <x:c r="O201" s="15" t="str"/>
      <x:c r="P201" s="15" t="str"/>
      <x:c r="Q201" s="15" t="str">
        <x:v>New Solve</x:v>
      </x:c>
    </x:row>
    <x:row r="202">
      <x:c r="A202" s="15" t="n">
        <x:v>201</x:v>
      </x:c>
      <x:c r="B202" s="39" t="n">
        <x:v>46341</x:v>
      </x:c>
      <x:c r="C202" s="15" t="str">
        <x:v>Phase 2: 2/day</x:v>
      </x:c>
      <x:c r="D202" s="15" t="str">
        <x:v>Binary Search</x:v>
      </x:c>
      <x:c r="E202" s="15" t="str">
        <x:v>Medium</x:v>
      </x:c>
      <x:c r="F202" s="15" t="n">
        <x:v>875</x:v>
      </x:c>
      <x:c r="G202" s="15" t="str">
        <x:v>Koko Eating Bananas</x:v>
      </x:c>
      <x:c r="H202" s="15" t="str">
        <x:v>https://leetcode.com/problems/koko-eating-bananas/</x:v>
      </x:c>
      <x:c r="I202" s="15" t="str">
        <x:v>Not Started</x:v>
      </x:c>
      <x:c r="J202" s="39"/>
      <x:c r="K202" s="39"/>
      <x:c r="L202" s="39"/>
      <x:c r="M202" s="15" t="str"/>
      <x:c r="N202" s="15" t="str"/>
      <x:c r="O202" s="15" t="str"/>
      <x:c r="P202" s="15" t="str"/>
      <x:c r="Q202" s="15" t="str">
        <x:v>New Solve</x:v>
      </x:c>
    </x:row>
    <x:row r="203">
      <x:c r="A203" s="15" t="n">
        <x:v>202</x:v>
      </x:c>
      <x:c r="B203" s="39" t="n">
        <x:v>46341</x:v>
      </x:c>
      <x:c r="C203" s="15" t="str">
        <x:v>Phase 2: 2/day</x:v>
      </x:c>
      <x:c r="D203" s="15" t="str">
        <x:v>Binary Search</x:v>
      </x:c>
      <x:c r="E203" s="15" t="str">
        <x:v>Medium</x:v>
      </x:c>
      <x:c r="F203" s="15" t="n">
        <x:v>1011</x:v>
      </x:c>
      <x:c r="G203" s="15" t="str">
        <x:v>Capacity To Ship Packages Within D Days</x:v>
      </x:c>
      <x:c r="H203" s="15" t="str">
        <x:v>https://leetcode.com/problems/capacity-to-ship-packages-within-d-days/</x:v>
      </x:c>
      <x:c r="I203" s="15" t="str">
        <x:v>Not Started</x:v>
      </x:c>
      <x:c r="J203" s="39"/>
      <x:c r="K203" s="39"/>
      <x:c r="L203" s="39"/>
      <x:c r="M203" s="15" t="str"/>
      <x:c r="N203" s="15" t="str"/>
      <x:c r="O203" s="15" t="str"/>
      <x:c r="P203" s="15" t="str"/>
      <x:c r="Q203" s="15" t="str">
        <x:v>New Solve</x:v>
      </x:c>
    </x:row>
    <x:row r="204">
      <x:c r="A204" s="15" t="n">
        <x:v>203</x:v>
      </x:c>
      <x:c r="B204" s="39" t="n">
        <x:v>46342</x:v>
      </x:c>
      <x:c r="C204" s="15" t="str">
        <x:v>Phase 2: 2/day</x:v>
      </x:c>
      <x:c r="D204" s="15" t="str">
        <x:v>Binary Search</x:v>
      </x:c>
      <x:c r="E204" s="15" t="str">
        <x:v>Medium</x:v>
      </x:c>
      <x:c r="F204" s="15" t="n">
        <x:v>1283</x:v>
      </x:c>
      <x:c r="G204" s="15" t="str">
        <x:v>Find the Smallest Divisor Given a Threshold</x:v>
      </x:c>
      <x:c r="H204" s="15" t="str">
        <x:v>https://leetcode.com/problems/find-the-smallest-divisor-given-a-threshold/</x:v>
      </x:c>
      <x:c r="I204" s="15" t="str">
        <x:v>Not Started</x:v>
      </x:c>
      <x:c r="J204" s="39"/>
      <x:c r="K204" s="39"/>
      <x:c r="L204" s="39"/>
      <x:c r="M204" s="15" t="str"/>
      <x:c r="N204" s="15" t="str"/>
      <x:c r="O204" s="15" t="str"/>
      <x:c r="P204" s="15" t="str"/>
      <x:c r="Q204" s="15" t="str">
        <x:v>New Solve</x:v>
      </x:c>
    </x:row>
    <x:row r="205">
      <x:c r="A205" s="15" t="n">
        <x:v>204</x:v>
      </x:c>
      <x:c r="B205" s="39" t="n">
        <x:v>46342</x:v>
      </x:c>
      <x:c r="C205" s="15" t="str">
        <x:v>Phase 2: 2/day</x:v>
      </x:c>
      <x:c r="D205" s="15" t="str">
        <x:v>Binary Search</x:v>
      </x:c>
      <x:c r="E205" s="15" t="str">
        <x:v>Medium</x:v>
      </x:c>
      <x:c r="F205" s="15" t="n">
        <x:v>1482</x:v>
      </x:c>
      <x:c r="G205" s="15" t="str">
        <x:v>Minimum Number of Days to Make m Bouquets</x:v>
      </x:c>
      <x:c r="H205" s="15" t="str">
        <x:v>https://leetcode.com/problems/minimum-number-of-days-to-make-m-bouquets/</x:v>
      </x:c>
      <x:c r="I205" s="15" t="str">
        <x:v>Not Started</x:v>
      </x:c>
      <x:c r="J205" s="39"/>
      <x:c r="K205" s="39"/>
      <x:c r="L205" s="39"/>
      <x:c r="M205" s="15" t="str"/>
      <x:c r="N205" s="15" t="str"/>
      <x:c r="O205" s="15" t="str"/>
      <x:c r="P205" s="15" t="str"/>
      <x:c r="Q205" s="15" t="str">
        <x:v>New Solve</x:v>
      </x:c>
    </x:row>
    <x:row r="206">
      <x:c r="A206" s="15" t="n">
        <x:v>205</x:v>
      </x:c>
      <x:c r="B206" s="39" t="n">
        <x:v>46343</x:v>
      </x:c>
      <x:c r="C206" s="15" t="str">
        <x:v>Phase 2: 2/day</x:v>
      </x:c>
      <x:c r="D206" s="15" t="str">
        <x:v>Binary Search</x:v>
      </x:c>
      <x:c r="E206" s="15" t="str">
        <x:v>Easy</x:v>
      </x:c>
      <x:c r="F206" s="15" t="n">
        <x:v>1539</x:v>
      </x:c>
      <x:c r="G206" s="15" t="str">
        <x:v>Kth Missing Positive Number</x:v>
      </x:c>
      <x:c r="H206" s="15" t="str">
        <x:v>https://leetcode.com/problems/kth-missing-positive-number/</x:v>
      </x:c>
      <x:c r="I206" s="15" t="str">
        <x:v>Not Started</x:v>
      </x:c>
      <x:c r="J206" s="39"/>
      <x:c r="K206" s="39"/>
      <x:c r="L206" s="39"/>
      <x:c r="M206" s="15" t="str"/>
      <x:c r="N206" s="15" t="str"/>
      <x:c r="O206" s="15" t="str"/>
      <x:c r="P206" s="15" t="str"/>
      <x:c r="Q206" s="15" t="str">
        <x:v>New Solve</x:v>
      </x:c>
    </x:row>
    <x:row r="207">
      <x:c r="A207" s="15" t="n">
        <x:v>206</x:v>
      </x:c>
      <x:c r="B207" s="39" t="n">
        <x:v>46343</x:v>
      </x:c>
      <x:c r="C207" s="15" t="str">
        <x:v>Phase 2: 2/day</x:v>
      </x:c>
      <x:c r="D207" s="15" t="str">
        <x:v>Binary Search</x:v>
      </x:c>
      <x:c r="E207" s="15" t="str">
        <x:v>Medium</x:v>
      </x:c>
      <x:c r="F207" s="15" t="n">
        <x:v>1552</x:v>
      </x:c>
      <x:c r="G207" s="15" t="str">
        <x:v>Magnetic Force Between Two Balls</x:v>
      </x:c>
      <x:c r="H207" s="15" t="str">
        <x:v>https://leetcode.com/problems/magnetic-force-between-two-balls/</x:v>
      </x:c>
      <x:c r="I207" s="15" t="str">
        <x:v>Not Started</x:v>
      </x:c>
      <x:c r="J207" s="39"/>
      <x:c r="K207" s="39"/>
      <x:c r="L207" s="39"/>
      <x:c r="M207" s="15" t="str"/>
      <x:c r="N207" s="15" t="str"/>
      <x:c r="O207" s="15" t="str"/>
      <x:c r="P207" s="15" t="str"/>
      <x:c r="Q207" s="15" t="str">
        <x:v>New Solve</x:v>
      </x:c>
    </x:row>
    <x:row r="208">
      <x:c r="A208" s="15" t="n">
        <x:v>207</x:v>
      </x:c>
      <x:c r="B208" s="39" t="n">
        <x:v>46344</x:v>
      </x:c>
      <x:c r="C208" s="15" t="str">
        <x:v>Phase 2: 2/day</x:v>
      </x:c>
      <x:c r="D208" s="15" t="str">
        <x:v>Binary Search</x:v>
      </x:c>
      <x:c r="E208" s="15" t="str">
        <x:v>Medium</x:v>
      </x:c>
      <x:c r="F208" s="15" t="n">
        <x:v>1760</x:v>
      </x:c>
      <x:c r="G208" s="15" t="str">
        <x:v>Minimum Limit of Balls in a Bag</x:v>
      </x:c>
      <x:c r="H208" s="15" t="str">
        <x:v>https://leetcode.com/problems/minimum-limit-of-balls-in-a-bag/</x:v>
      </x:c>
      <x:c r="I208" s="15" t="str">
        <x:v>Not Started</x:v>
      </x:c>
      <x:c r="J208" s="39"/>
      <x:c r="K208" s="39"/>
      <x:c r="L208" s="39"/>
      <x:c r="M208" s="15" t="str"/>
      <x:c r="N208" s="15" t="str"/>
      <x:c r="O208" s="15" t="str"/>
      <x:c r="P208" s="15" t="str"/>
      <x:c r="Q208" s="15" t="str">
        <x:v>New Solve</x:v>
      </x:c>
    </x:row>
    <x:row r="209">
      <x:c r="A209" s="15" t="n">
        <x:v>208</x:v>
      </x:c>
      <x:c r="B209" s="39" t="n">
        <x:v>46344</x:v>
      </x:c>
      <x:c r="C209" s="15" t="str">
        <x:v>Phase 2: 2/day</x:v>
      </x:c>
      <x:c r="D209" s="15" t="str">
        <x:v>Binary Search</x:v>
      </x:c>
      <x:c r="E209" s="15" t="str">
        <x:v>Medium</x:v>
      </x:c>
      <x:c r="F209" s="15" t="n">
        <x:v>1802</x:v>
      </x:c>
      <x:c r="G209" s="15" t="str">
        <x:v>Maximum Value at a Given Index in a Bounded Array</x:v>
      </x:c>
      <x:c r="H209" s="15" t="str">
        <x:v>https://leetcode.com/problems/maximum-value-at-a-given-index-in-a-bounded-array/</x:v>
      </x:c>
      <x:c r="I209" s="15" t="str">
        <x:v>Not Started</x:v>
      </x:c>
      <x:c r="J209" s="39"/>
      <x:c r="K209" s="39"/>
      <x:c r="L209" s="39"/>
      <x:c r="M209" s="15" t="str"/>
      <x:c r="N209" s="15" t="str"/>
      <x:c r="O209" s="15" t="str"/>
      <x:c r="P209" s="15" t="str"/>
      <x:c r="Q209" s="15" t="str">
        <x:v>New Solve</x:v>
      </x:c>
    </x:row>
    <x:row r="210">
      <x:c r="A210" s="15" t="n">
        <x:v>209</x:v>
      </x:c>
      <x:c r="B210" s="39" t="n">
        <x:v>46345</x:v>
      </x:c>
      <x:c r="C210" s="15" t="str">
        <x:v>Phase 2: 2/day</x:v>
      </x:c>
      <x:c r="D210" s="15" t="str">
        <x:v>Binary Search</x:v>
      </x:c>
      <x:c r="E210" s="15" t="str">
        <x:v>Medium</x:v>
      </x:c>
      <x:c r="F210" s="15" t="n">
        <x:v>2064</x:v>
      </x:c>
      <x:c r="G210" s="15" t="str">
        <x:v>Minimized Maximum of Products Distributed to Any Store</x:v>
      </x:c>
      <x:c r="H210" s="15" t="str">
        <x:v>https://leetcode.com/problems/minimized-maximum-of-products-distributed-to-any-store/</x:v>
      </x:c>
      <x:c r="I210" s="15" t="str">
        <x:v>Not Started</x:v>
      </x:c>
      <x:c r="J210" s="39"/>
      <x:c r="K210" s="39"/>
      <x:c r="L210" s="39"/>
      <x:c r="M210" s="15" t="str"/>
      <x:c r="N210" s="15" t="str"/>
      <x:c r="O210" s="15" t="str"/>
      <x:c r="P210" s="15" t="str"/>
      <x:c r="Q210" s="15" t="str">
        <x:v>New Solve</x:v>
      </x:c>
    </x:row>
    <x:row r="211">
      <x:c r="A211" s="15" t="n">
        <x:v>210</x:v>
      </x:c>
      <x:c r="B211" s="39" t="n">
        <x:v>46345</x:v>
      </x:c>
      <x:c r="C211" s="15" t="str">
        <x:v>Phase 2: 2/day</x:v>
      </x:c>
      <x:c r="D211" s="15" t="str">
        <x:v>Binary Search</x:v>
      </x:c>
      <x:c r="E211" s="15" t="str">
        <x:v>Medium</x:v>
      </x:c>
      <x:c r="F211" s="15" t="n">
        <x:v>2300</x:v>
      </x:c>
      <x:c r="G211" s="15" t="str">
        <x:v>Successful Pairs of Spells and Potions</x:v>
      </x:c>
      <x:c r="H211" s="15" t="str">
        <x:v>https://leetcode.com/problems/successful-pairs-of-spells-and-potions/</x:v>
      </x:c>
      <x:c r="I211" s="15" t="str">
        <x:v>Not Started</x:v>
      </x:c>
      <x:c r="J211" s="39"/>
      <x:c r="K211" s="39"/>
      <x:c r="L211" s="39"/>
      <x:c r="M211" s="15" t="str"/>
      <x:c r="N211" s="15" t="str"/>
      <x:c r="O211" s="15" t="str"/>
      <x:c r="P211" s="15" t="str"/>
      <x:c r="Q211" s="15" t="str">
        <x:v>New Solve</x:v>
      </x:c>
    </x:row>
    <x:row r="212">
      <x:c r="A212" s="15" t="n">
        <x:v>211</x:v>
      </x:c>
      <x:c r="B212" s="39" t="n">
        <x:v>46346</x:v>
      </x:c>
      <x:c r="C212" s="15" t="str">
        <x:v>Phase 2: 2/day</x:v>
      </x:c>
      <x:c r="D212" s="15" t="str">
        <x:v>Binary Search</x:v>
      </x:c>
      <x:c r="E212" s="15" t="str">
        <x:v>Easy</x:v>
      </x:c>
      <x:c r="F212" s="15" t="n">
        <x:v>2389</x:v>
      </x:c>
      <x:c r="G212" s="15" t="str">
        <x:v>Longest Subsequence With Limited Sum</x:v>
      </x:c>
      <x:c r="H212" s="15" t="str">
        <x:v>https://leetcode.com/problems/longest-subsequence-with-limited-sum/</x:v>
      </x:c>
      <x:c r="I212" s="15" t="str">
        <x:v>Not Started</x:v>
      </x:c>
      <x:c r="J212" s="39"/>
      <x:c r="K212" s="39"/>
      <x:c r="L212" s="39"/>
      <x:c r="M212" s="15" t="str"/>
      <x:c r="N212" s="15" t="str"/>
      <x:c r="O212" s="15" t="str"/>
      <x:c r="P212" s="15" t="str"/>
      <x:c r="Q212" s="15" t="str">
        <x:v>New Solve</x:v>
      </x:c>
    </x:row>
    <x:row r="213">
      <x:c r="A213" s="15" t="n">
        <x:v>212</x:v>
      </x:c>
      <x:c r="B213" s="39" t="n">
        <x:v>46346</x:v>
      </x:c>
      <x:c r="C213" s="15" t="str">
        <x:v>Phase 2: 2/day</x:v>
      </x:c>
      <x:c r="D213" s="15" t="str">
        <x:v>Binary Search</x:v>
      </x:c>
      <x:c r="E213" s="15" t="str">
        <x:v>Easy</x:v>
      </x:c>
      <x:c r="F213" s="15" t="n">
        <x:v>2529</x:v>
      </x:c>
      <x:c r="G213" s="15" t="str">
        <x:v>Maximum Count of Positive Integer and Negative Integer</x:v>
      </x:c>
      <x:c r="H213" s="15" t="str">
        <x:v>https://leetcode.com/problems/maximum-count-of-positive-integer-and-negative-integer/</x:v>
      </x:c>
      <x:c r="I213" s="15" t="str">
        <x:v>Not Started</x:v>
      </x:c>
      <x:c r="J213" s="39"/>
      <x:c r="K213" s="39"/>
      <x:c r="L213" s="39"/>
      <x:c r="M213" s="15" t="str"/>
      <x:c r="N213" s="15" t="str"/>
      <x:c r="O213" s="15" t="str"/>
      <x:c r="P213" s="15" t="str"/>
      <x:c r="Q213" s="15" t="str">
        <x:v>New Solve</x:v>
      </x:c>
    </x:row>
    <x:row r="214">
      <x:c r="A214" s="15" t="n">
        <x:v>213</x:v>
      </x:c>
      <x:c r="B214" s="39" t="n">
        <x:v>46347</x:v>
      </x:c>
      <x:c r="C214" s="15" t="str">
        <x:v>Phase 2: 2/day</x:v>
      </x:c>
      <x:c r="D214" s="15" t="str">
        <x:v>Binary Search</x:v>
      </x:c>
      <x:c r="E214" s="15" t="str">
        <x:v>Medium</x:v>
      </x:c>
      <x:c r="F214" s="15" t="n">
        <x:v>2563</x:v>
      </x:c>
      <x:c r="G214" s="15" t="str">
        <x:v>Count the Number of Fair Pairs</x:v>
      </x:c>
      <x:c r="H214" s="15" t="str">
        <x:v>https://leetcode.com/problems/count-the-number-of-fair-pairs/</x:v>
      </x:c>
      <x:c r="I214" s="15" t="str">
        <x:v>Not Started</x:v>
      </x:c>
      <x:c r="J214" s="39"/>
      <x:c r="K214" s="39"/>
      <x:c r="L214" s="39"/>
      <x:c r="M214" s="15" t="str"/>
      <x:c r="N214" s="15" t="str"/>
      <x:c r="O214" s="15" t="str"/>
      <x:c r="P214" s="15" t="str"/>
      <x:c r="Q214" s="15" t="str">
        <x:v>New Solve</x:v>
      </x:c>
    </x:row>
    <x:row r="215">
      <x:c r="A215" s="15" t="n">
        <x:v>214</x:v>
      </x:c>
      <x:c r="B215" s="39" t="n">
        <x:v>46347</x:v>
      </x:c>
      <x:c r="C215" s="15" t="str">
        <x:v>Phase 2: 2/day</x:v>
      </x:c>
      <x:c r="D215" s="15" t="str">
        <x:v>Binary Search</x:v>
      </x:c>
      <x:c r="E215" s="15" t="str">
        <x:v>Medium</x:v>
      </x:c>
      <x:c r="F215" s="15" t="n">
        <x:v>2594</x:v>
      </x:c>
      <x:c r="G215" s="15" t="str">
        <x:v>Minimum Time to Repair Cars</x:v>
      </x:c>
      <x:c r="H215" s="15" t="str">
        <x:v>https://leetcode.com/problems/minimum-time-to-repair-cars/</x:v>
      </x:c>
      <x:c r="I215" s="15" t="str">
        <x:v>Not Started</x:v>
      </x:c>
      <x:c r="J215" s="39"/>
      <x:c r="K215" s="39"/>
      <x:c r="L215" s="39"/>
      <x:c r="M215" s="15" t="str"/>
      <x:c r="N215" s="15" t="str"/>
      <x:c r="O215" s="15" t="str"/>
      <x:c r="P215" s="15" t="str"/>
      <x:c r="Q215" s="15" t="str">
        <x:v>New Solve</x:v>
      </x:c>
    </x:row>
    <x:row r="216">
      <x:c r="A216" s="15" t="n">
        <x:v>215</x:v>
      </x:c>
      <x:c r="B216" s="39"/>
      <x:c r="C216" s="15" t="str">
        <x:v>Already solved - revise</x:v>
      </x:c>
      <x:c r="D216" s="15" t="str">
        <x:v>Binary Search</x:v>
      </x:c>
      <x:c r="E216" s="15" t="str">
        <x:v>Hard</x:v>
      </x:c>
      <x:c r="F216" s="15" t="n">
        <x:v>4</x:v>
      </x:c>
      <x:c r="G216" s="15" t="str">
        <x:v>Median of Two Sorted Arrays</x:v>
      </x:c>
      <x:c r="H216" s="15" t="str">
        <x:v>https://leetcode.com/problems/median-of-two-sorted-arrays/</x:v>
      </x:c>
      <x:c r="I216" s="15" t="str">
        <x:v>Done</x:v>
      </x:c>
      <x:c r="J216" s="39"/>
      <x:c r="K216" s="39"/>
      <x:c r="L216" s="39"/>
      <x:c r="M216" s="15" t="str"/>
      <x:c r="N216" s="15" t="str"/>
      <x:c r="O216" s="15" t="str"/>
      <x:c r="P216" s="15" t="str"/>
      <x:c r="Q216" s="15" t="str">
        <x:v>Revision / Confirmed</x:v>
      </x:c>
    </x:row>
    <x:row r="217">
      <x:c r="A217" s="15" t="n">
        <x:v>216</x:v>
      </x:c>
      <x:c r="B217" s="39" t="n">
        <x:v>46348</x:v>
      </x:c>
      <x:c r="C217" s="15" t="str">
        <x:v>Phase 2: 2/day</x:v>
      </x:c>
      <x:c r="D217" s="15" t="str">
        <x:v>Trees / BST</x:v>
      </x:c>
      <x:c r="E217" s="15" t="str">
        <x:v>Easy</x:v>
      </x:c>
      <x:c r="F217" s="15" t="n">
        <x:v>94</x:v>
      </x:c>
      <x:c r="G217" s="15" t="str">
        <x:v>Binary Tree Inorder Traversal</x:v>
      </x:c>
      <x:c r="H217" s="15" t="str">
        <x:v>https://leetcode.com/problems/binary-tree-inorder-traversal/</x:v>
      </x:c>
      <x:c r="I217" s="15" t="str">
        <x:v>Not Started</x:v>
      </x:c>
      <x:c r="J217" s="39"/>
      <x:c r="K217" s="39"/>
      <x:c r="L217" s="39"/>
      <x:c r="M217" s="15" t="str"/>
      <x:c r="N217" s="15" t="str"/>
      <x:c r="O217" s="15" t="str"/>
      <x:c r="P217" s="15" t="str"/>
      <x:c r="Q217" s="15" t="str">
        <x:v>New Solve</x:v>
      </x:c>
    </x:row>
    <x:row r="218">
      <x:c r="A218" s="15" t="n">
        <x:v>217</x:v>
      </x:c>
      <x:c r="B218" s="39" t="n">
        <x:v>46348</x:v>
      </x:c>
      <x:c r="C218" s="15" t="str">
        <x:v>Phase 2: 2/day</x:v>
      </x:c>
      <x:c r="D218" s="15" t="str">
        <x:v>Trees / BST</x:v>
      </x:c>
      <x:c r="E218" s="15" t="str">
        <x:v>Easy</x:v>
      </x:c>
      <x:c r="F218" s="15" t="n">
        <x:v>100</x:v>
      </x:c>
      <x:c r="G218" s="15" t="str">
        <x:v>Same Tree</x:v>
      </x:c>
      <x:c r="H218" s="15" t="str">
        <x:v>https://leetcode.com/problems/same-tree/</x:v>
      </x:c>
      <x:c r="I218" s="15" t="str">
        <x:v>Not Started</x:v>
      </x:c>
      <x:c r="J218" s="39"/>
      <x:c r="K218" s="39"/>
      <x:c r="L218" s="39"/>
      <x:c r="M218" s="15" t="str"/>
      <x:c r="N218" s="15" t="str"/>
      <x:c r="O218" s="15" t="str"/>
      <x:c r="P218" s="15" t="str"/>
      <x:c r="Q218" s="15" t="str">
        <x:v>New Solve</x:v>
      </x:c>
    </x:row>
    <x:row r="219">
      <x:c r="A219" s="15" t="n">
        <x:v>218</x:v>
      </x:c>
      <x:c r="B219" s="39" t="n">
        <x:v>46349</x:v>
      </x:c>
      <x:c r="C219" s="15" t="str">
        <x:v>Phase 2: 2/day</x:v>
      </x:c>
      <x:c r="D219" s="15" t="str">
        <x:v>Trees / BST</x:v>
      </x:c>
      <x:c r="E219" s="15" t="str">
        <x:v>Easy</x:v>
      </x:c>
      <x:c r="F219" s="15" t="n">
        <x:v>101</x:v>
      </x:c>
      <x:c r="G219" s="15" t="str">
        <x:v>Symmetric Tree</x:v>
      </x:c>
      <x:c r="H219" s="15" t="str">
        <x:v>https://leetcode.com/problems/symmetric-tree/</x:v>
      </x:c>
      <x:c r="I219" s="15" t="str">
        <x:v>Not Started</x:v>
      </x:c>
      <x:c r="J219" s="39"/>
      <x:c r="K219" s="39"/>
      <x:c r="L219" s="39"/>
      <x:c r="M219" s="15" t="str"/>
      <x:c r="N219" s="15" t="str"/>
      <x:c r="O219" s="15" t="str"/>
      <x:c r="P219" s="15" t="str"/>
      <x:c r="Q219" s="15" t="str">
        <x:v>New Solve</x:v>
      </x:c>
    </x:row>
    <x:row r="220">
      <x:c r="A220" s="15" t="n">
        <x:v>219</x:v>
      </x:c>
      <x:c r="B220" s="39" t="n">
        <x:v>46349</x:v>
      </x:c>
      <x:c r="C220" s="15" t="str">
        <x:v>Phase 2: 2/day</x:v>
      </x:c>
      <x:c r="D220" s="15" t="str">
        <x:v>Trees / BST</x:v>
      </x:c>
      <x:c r="E220" s="15" t="str">
        <x:v>Easy</x:v>
      </x:c>
      <x:c r="F220" s="15" t="n">
        <x:v>104</x:v>
      </x:c>
      <x:c r="G220" s="15" t="str">
        <x:v>Maximum Depth of Binary Tree</x:v>
      </x:c>
      <x:c r="H220" s="15" t="str">
        <x:v>https://leetcode.com/problems/maximum-depth-of-binary-tree/</x:v>
      </x:c>
      <x:c r="I220" s="15" t="str">
        <x:v>Not Started</x:v>
      </x:c>
      <x:c r="J220" s="39"/>
      <x:c r="K220" s="39"/>
      <x:c r="L220" s="39"/>
      <x:c r="M220" s="15" t="str"/>
      <x:c r="N220" s="15" t="str"/>
      <x:c r="O220" s="15" t="str"/>
      <x:c r="P220" s="15" t="str"/>
      <x:c r="Q220" s="15" t="str">
        <x:v>New Solve</x:v>
      </x:c>
    </x:row>
    <x:row r="221">
      <x:c r="A221" s="15" t="n">
        <x:v>220</x:v>
      </x:c>
      <x:c r="B221" s="39" t="n">
        <x:v>46350</x:v>
      </x:c>
      <x:c r="C221" s="15" t="str">
        <x:v>Phase 2: 2/day</x:v>
      </x:c>
      <x:c r="D221" s="15" t="str">
        <x:v>Trees / BST</x:v>
      </x:c>
      <x:c r="E221" s="15" t="str">
        <x:v>Easy</x:v>
      </x:c>
      <x:c r="F221" s="15" t="n">
        <x:v>110</x:v>
      </x:c>
      <x:c r="G221" s="15" t="str">
        <x:v>Balanced Binary Tree</x:v>
      </x:c>
      <x:c r="H221" s="15" t="str">
        <x:v>https://leetcode.com/problems/balanced-binary-tree/</x:v>
      </x:c>
      <x:c r="I221" s="15" t="str">
        <x:v>Not Started</x:v>
      </x:c>
      <x:c r="J221" s="39"/>
      <x:c r="K221" s="39"/>
      <x:c r="L221" s="39"/>
      <x:c r="M221" s="15" t="str"/>
      <x:c r="N221" s="15" t="str"/>
      <x:c r="O221" s="15" t="str"/>
      <x:c r="P221" s="15" t="str"/>
      <x:c r="Q221" s="15" t="str">
        <x:v>New Solve</x:v>
      </x:c>
    </x:row>
    <x:row r="222">
      <x:c r="A222" s="15" t="n">
        <x:v>221</x:v>
      </x:c>
      <x:c r="B222" s="39" t="n">
        <x:v>46350</x:v>
      </x:c>
      <x:c r="C222" s="15" t="str">
        <x:v>Phase 2: 2/day</x:v>
      </x:c>
      <x:c r="D222" s="15" t="str">
        <x:v>Trees / BST</x:v>
      </x:c>
      <x:c r="E222" s="15" t="str">
        <x:v>Easy</x:v>
      </x:c>
      <x:c r="F222" s="15" t="n">
        <x:v>111</x:v>
      </x:c>
      <x:c r="G222" s="15" t="str">
        <x:v>Minimum Depth of Binary Tree</x:v>
      </x:c>
      <x:c r="H222" s="15" t="str">
        <x:v>https://leetcode.com/problems/minimum-depth-of-binary-tree/</x:v>
      </x:c>
      <x:c r="I222" s="15" t="str">
        <x:v>Not Started</x:v>
      </x:c>
      <x:c r="J222" s="39"/>
      <x:c r="K222" s="39"/>
      <x:c r="L222" s="39"/>
      <x:c r="M222" s="15" t="str"/>
      <x:c r="N222" s="15" t="str"/>
      <x:c r="O222" s="15" t="str"/>
      <x:c r="P222" s="15" t="str"/>
      <x:c r="Q222" s="15" t="str">
        <x:v>New Solve</x:v>
      </x:c>
    </x:row>
    <x:row r="223">
      <x:c r="A223" s="15" t="n">
        <x:v>222</x:v>
      </x:c>
      <x:c r="B223" s="39" t="n">
        <x:v>46351</x:v>
      </x:c>
      <x:c r="C223" s="15" t="str">
        <x:v>Phase 2: 2/day</x:v>
      </x:c>
      <x:c r="D223" s="15" t="str">
        <x:v>Trees / BST</x:v>
      </x:c>
      <x:c r="E223" s="15" t="str">
        <x:v>Easy</x:v>
      </x:c>
      <x:c r="F223" s="15" t="n">
        <x:v>112</x:v>
      </x:c>
      <x:c r="G223" s="15" t="str">
        <x:v>Path Sum</x:v>
      </x:c>
      <x:c r="H223" s="15" t="str">
        <x:v>https://leetcode.com/problems/path-sum/</x:v>
      </x:c>
      <x:c r="I223" s="15" t="str">
        <x:v>Not Started</x:v>
      </x:c>
      <x:c r="J223" s="39"/>
      <x:c r="K223" s="39"/>
      <x:c r="L223" s="39"/>
      <x:c r="M223" s="15" t="str"/>
      <x:c r="N223" s="15" t="str"/>
      <x:c r="O223" s="15" t="str"/>
      <x:c r="P223" s="15" t="str"/>
      <x:c r="Q223" s="15" t="str">
        <x:v>New Solve</x:v>
      </x:c>
    </x:row>
    <x:row r="224">
      <x:c r="A224" s="15" t="n">
        <x:v>223</x:v>
      </x:c>
      <x:c r="B224" s="39" t="n">
        <x:v>46351</x:v>
      </x:c>
      <x:c r="C224" s="15" t="str">
        <x:v>Phase 2: 2/day</x:v>
      </x:c>
      <x:c r="D224" s="15" t="str">
        <x:v>Trees / BST</x:v>
      </x:c>
      <x:c r="E224" s="15" t="str">
        <x:v>Easy</x:v>
      </x:c>
      <x:c r="F224" s="15" t="n">
        <x:v>144</x:v>
      </x:c>
      <x:c r="G224" s="15" t="str">
        <x:v>Binary Tree Preorder Traversal</x:v>
      </x:c>
      <x:c r="H224" s="15" t="str">
        <x:v>https://leetcode.com/problems/binary-tree-preorder-traversal/</x:v>
      </x:c>
      <x:c r="I224" s="15" t="str">
        <x:v>Not Started</x:v>
      </x:c>
      <x:c r="J224" s="39"/>
      <x:c r="K224" s="39"/>
      <x:c r="L224" s="39"/>
      <x:c r="M224" s="15" t="str"/>
      <x:c r="N224" s="15" t="str"/>
      <x:c r="O224" s="15" t="str"/>
      <x:c r="P224" s="15" t="str"/>
      <x:c r="Q224" s="15" t="str">
        <x:v>New Solve</x:v>
      </x:c>
    </x:row>
    <x:row r="225">
      <x:c r="A225" s="15" t="n">
        <x:v>224</x:v>
      </x:c>
      <x:c r="B225" s="39" t="n">
        <x:v>46352</x:v>
      </x:c>
      <x:c r="C225" s="15" t="str">
        <x:v>Phase 2: 2/day</x:v>
      </x:c>
      <x:c r="D225" s="15" t="str">
        <x:v>Trees / BST</x:v>
      </x:c>
      <x:c r="E225" s="15" t="str">
        <x:v>Easy</x:v>
      </x:c>
      <x:c r="F225" s="15" t="n">
        <x:v>145</x:v>
      </x:c>
      <x:c r="G225" s="15" t="str">
        <x:v>Binary Tree Postorder Traversal</x:v>
      </x:c>
      <x:c r="H225" s="15" t="str">
        <x:v>https://leetcode.com/problems/binary-tree-postorder-traversal/</x:v>
      </x:c>
      <x:c r="I225" s="15" t="str">
        <x:v>Not Started</x:v>
      </x:c>
      <x:c r="J225" s="39"/>
      <x:c r="K225" s="39"/>
      <x:c r="L225" s="39"/>
      <x:c r="M225" s="15" t="str"/>
      <x:c r="N225" s="15" t="str"/>
      <x:c r="O225" s="15" t="str"/>
      <x:c r="P225" s="15" t="str"/>
      <x:c r="Q225" s="15" t="str">
        <x:v>New Solve</x:v>
      </x:c>
    </x:row>
    <x:row r="226">
      <x:c r="A226" s="15" t="n">
        <x:v>225</x:v>
      </x:c>
      <x:c r="B226" s="39" t="n">
        <x:v>46352</x:v>
      </x:c>
      <x:c r="C226" s="15" t="str">
        <x:v>Phase 2: 2/day</x:v>
      </x:c>
      <x:c r="D226" s="15" t="str">
        <x:v>Trees / BST</x:v>
      </x:c>
      <x:c r="E226" s="15" t="str">
        <x:v>Easy</x:v>
      </x:c>
      <x:c r="F226" s="15" t="n">
        <x:v>226</x:v>
      </x:c>
      <x:c r="G226" s="15" t="str">
        <x:v>Invert Binary Tree</x:v>
      </x:c>
      <x:c r="H226" s="15" t="str">
        <x:v>https://leetcode.com/problems/invert-binary-tree/</x:v>
      </x:c>
      <x:c r="I226" s="15" t="str">
        <x:v>Not Started</x:v>
      </x:c>
      <x:c r="J226" s="39"/>
      <x:c r="K226" s="39"/>
      <x:c r="L226" s="39"/>
      <x:c r="M226" s="15" t="str"/>
      <x:c r="N226" s="15" t="str"/>
      <x:c r="O226" s="15" t="str"/>
      <x:c r="P226" s="15" t="str"/>
      <x:c r="Q226" s="15" t="str">
        <x:v>New Solve</x:v>
      </x:c>
    </x:row>
    <x:row r="227">
      <x:c r="A227" s="15" t="n">
        <x:v>226</x:v>
      </x:c>
      <x:c r="B227" s="39" t="n">
        <x:v>46353</x:v>
      </x:c>
      <x:c r="C227" s="15" t="str">
        <x:v>Phase 2: 2/day</x:v>
      </x:c>
      <x:c r="D227" s="15" t="str">
        <x:v>Trees / BST</x:v>
      </x:c>
      <x:c r="E227" s="15" t="str">
        <x:v>Easy</x:v>
      </x:c>
      <x:c r="F227" s="15" t="n">
        <x:v>257</x:v>
      </x:c>
      <x:c r="G227" s="15" t="str">
        <x:v>Binary Tree Paths</x:v>
      </x:c>
      <x:c r="H227" s="15" t="str">
        <x:v>https://leetcode.com/problems/binary-tree-paths/</x:v>
      </x:c>
      <x:c r="I227" s="15" t="str">
        <x:v>Not Started</x:v>
      </x:c>
      <x:c r="J227" s="39"/>
      <x:c r="K227" s="39"/>
      <x:c r="L227" s="39"/>
      <x:c r="M227" s="15" t="str"/>
      <x:c r="N227" s="15" t="str"/>
      <x:c r="O227" s="15" t="str"/>
      <x:c r="P227" s="15" t="str"/>
      <x:c r="Q227" s="15" t="str">
        <x:v>New Solve</x:v>
      </x:c>
    </x:row>
    <x:row r="228">
      <x:c r="A228" s="15" t="n">
        <x:v>227</x:v>
      </x:c>
      <x:c r="B228" s="39" t="n">
        <x:v>46353</x:v>
      </x:c>
      <x:c r="C228" s="15" t="str">
        <x:v>Phase 2: 2/day</x:v>
      </x:c>
      <x:c r="D228" s="15" t="str">
        <x:v>Trees / BST</x:v>
      </x:c>
      <x:c r="E228" s="15" t="str">
        <x:v>Easy</x:v>
      </x:c>
      <x:c r="F228" s="15" t="n">
        <x:v>404</x:v>
      </x:c>
      <x:c r="G228" s="15" t="str">
        <x:v>Sum of Left Leaves</x:v>
      </x:c>
      <x:c r="H228" s="15" t="str">
        <x:v>https://leetcode.com/problems/sum-of-left-leaves/</x:v>
      </x:c>
      <x:c r="I228" s="15" t="str">
        <x:v>Not Started</x:v>
      </x:c>
      <x:c r="J228" s="39"/>
      <x:c r="K228" s="39"/>
      <x:c r="L228" s="39"/>
      <x:c r="M228" s="15" t="str"/>
      <x:c r="N228" s="15" t="str"/>
      <x:c r="O228" s="15" t="str"/>
      <x:c r="P228" s="15" t="str"/>
      <x:c r="Q228" s="15" t="str">
        <x:v>New Solve</x:v>
      </x:c>
    </x:row>
    <x:row r="229">
      <x:c r="A229" s="15" t="n">
        <x:v>228</x:v>
      </x:c>
      <x:c r="B229" s="39" t="n">
        <x:v>46354</x:v>
      </x:c>
      <x:c r="C229" s="15" t="str">
        <x:v>Phase 2: 2/day</x:v>
      </x:c>
      <x:c r="D229" s="15" t="str">
        <x:v>Trees / BST</x:v>
      </x:c>
      <x:c r="E229" s="15" t="str">
        <x:v>Easy</x:v>
      </x:c>
      <x:c r="F229" s="15" t="n">
        <x:v>501</x:v>
      </x:c>
      <x:c r="G229" s="15" t="str">
        <x:v>Find Mode in Binary Search Tree</x:v>
      </x:c>
      <x:c r="H229" s="15" t="str">
        <x:v>https://leetcode.com/problems/find-mode-in-binary-search-tree/</x:v>
      </x:c>
      <x:c r="I229" s="15" t="str">
        <x:v>Not Started</x:v>
      </x:c>
      <x:c r="J229" s="39"/>
      <x:c r="K229" s="39"/>
      <x:c r="L229" s="39"/>
      <x:c r="M229" s="15" t="str"/>
      <x:c r="N229" s="15" t="str"/>
      <x:c r="O229" s="15" t="str"/>
      <x:c r="P229" s="15" t="str"/>
      <x:c r="Q229" s="15" t="str">
        <x:v>New Solve</x:v>
      </x:c>
    </x:row>
    <x:row r="230">
      <x:c r="A230" s="15" t="n">
        <x:v>229</x:v>
      </x:c>
      <x:c r="B230" s="39" t="n">
        <x:v>46354</x:v>
      </x:c>
      <x:c r="C230" s="15" t="str">
        <x:v>Phase 2: 2/day</x:v>
      </x:c>
      <x:c r="D230" s="15" t="str">
        <x:v>Trees / BST</x:v>
      </x:c>
      <x:c r="E230" s="15" t="str">
        <x:v>Easy</x:v>
      </x:c>
      <x:c r="F230" s="15" t="n">
        <x:v>530</x:v>
      </x:c>
      <x:c r="G230" s="15" t="str">
        <x:v>Minimum Absolute Difference in BST</x:v>
      </x:c>
      <x:c r="H230" s="15" t="str">
        <x:v>https://leetcode.com/problems/minimum-absolute-difference-in-bst/</x:v>
      </x:c>
      <x:c r="I230" s="15" t="str">
        <x:v>Not Started</x:v>
      </x:c>
      <x:c r="J230" s="39"/>
      <x:c r="K230" s="39"/>
      <x:c r="L230" s="39"/>
      <x:c r="M230" s="15" t="str"/>
      <x:c r="N230" s="15" t="str"/>
      <x:c r="O230" s="15" t="str"/>
      <x:c r="P230" s="15" t="str"/>
      <x:c r="Q230" s="15" t="str">
        <x:v>New Solve</x:v>
      </x:c>
    </x:row>
    <x:row r="231">
      <x:c r="A231" s="15" t="n">
        <x:v>230</x:v>
      </x:c>
      <x:c r="B231" s="39" t="n">
        <x:v>46355</x:v>
      </x:c>
      <x:c r="C231" s="15" t="str">
        <x:v>Phase 2: 2/day</x:v>
      </x:c>
      <x:c r="D231" s="15" t="str">
        <x:v>Trees / BST</x:v>
      </x:c>
      <x:c r="E231" s="15" t="str">
        <x:v>Easy</x:v>
      </x:c>
      <x:c r="F231" s="15" t="n">
        <x:v>543</x:v>
      </x:c>
      <x:c r="G231" s="15" t="str">
        <x:v>Diameter of Binary Tree</x:v>
      </x:c>
      <x:c r="H231" s="15" t="str">
        <x:v>https://leetcode.com/problems/diameter-of-binary-tree/</x:v>
      </x:c>
      <x:c r="I231" s="15" t="str">
        <x:v>Not Started</x:v>
      </x:c>
      <x:c r="J231" s="39"/>
      <x:c r="K231" s="39"/>
      <x:c r="L231" s="39"/>
      <x:c r="M231" s="15" t="str"/>
      <x:c r="N231" s="15" t="str"/>
      <x:c r="O231" s="15" t="str"/>
      <x:c r="P231" s="15" t="str"/>
      <x:c r="Q231" s="15" t="str">
        <x:v>New Solve</x:v>
      </x:c>
    </x:row>
    <x:row r="232">
      <x:c r="A232" s="15" t="n">
        <x:v>231</x:v>
      </x:c>
      <x:c r="B232" s="39" t="n">
        <x:v>46355</x:v>
      </x:c>
      <x:c r="C232" s="15" t="str">
        <x:v>Phase 2: 2/day</x:v>
      </x:c>
      <x:c r="D232" s="15" t="str">
        <x:v>Trees / BST</x:v>
      </x:c>
      <x:c r="E232" s="15" t="str">
        <x:v>Easy</x:v>
      </x:c>
      <x:c r="F232" s="15" t="n">
        <x:v>572</x:v>
      </x:c>
      <x:c r="G232" s="15" t="str">
        <x:v>Subtree of Another Tree</x:v>
      </x:c>
      <x:c r="H232" s="15" t="str">
        <x:v>https://leetcode.com/problems/subtree-of-another-tree/</x:v>
      </x:c>
      <x:c r="I232" s="15" t="str">
        <x:v>Not Started</x:v>
      </x:c>
      <x:c r="J232" s="39"/>
      <x:c r="K232" s="39"/>
      <x:c r="L232" s="39"/>
      <x:c r="M232" s="15" t="str"/>
      <x:c r="N232" s="15" t="str"/>
      <x:c r="O232" s="15" t="str"/>
      <x:c r="P232" s="15" t="str"/>
      <x:c r="Q232" s="15" t="str">
        <x:v>New Solve</x:v>
      </x:c>
    </x:row>
    <x:row r="233">
      <x:c r="A233" s="15" t="n">
        <x:v>232</x:v>
      </x:c>
      <x:c r="B233" s="39" t="n">
        <x:v>46356</x:v>
      </x:c>
      <x:c r="C233" s="15" t="str">
        <x:v>Phase 2: 2/day</x:v>
      </x:c>
      <x:c r="D233" s="15" t="str">
        <x:v>Trees / BST</x:v>
      </x:c>
      <x:c r="E233" s="15" t="str">
        <x:v>Easy</x:v>
      </x:c>
      <x:c r="F233" s="15" t="n">
        <x:v>617</x:v>
      </x:c>
      <x:c r="G233" s="15" t="str">
        <x:v>Merge Two Binary Trees</x:v>
      </x:c>
      <x:c r="H233" s="15" t="str">
        <x:v>https://leetcode.com/problems/merge-two-binary-trees/</x:v>
      </x:c>
      <x:c r="I233" s="15" t="str">
        <x:v>Not Started</x:v>
      </x:c>
      <x:c r="J233" s="39"/>
      <x:c r="K233" s="39"/>
      <x:c r="L233" s="39"/>
      <x:c r="M233" s="15" t="str"/>
      <x:c r="N233" s="15" t="str"/>
      <x:c r="O233" s="15" t="str"/>
      <x:c r="P233" s="15" t="str"/>
      <x:c r="Q233" s="15" t="str">
        <x:v>New Solve</x:v>
      </x:c>
    </x:row>
    <x:row r="234">
      <x:c r="A234" s="15" t="n">
        <x:v>233</x:v>
      </x:c>
      <x:c r="B234" s="39" t="n">
        <x:v>46356</x:v>
      </x:c>
      <x:c r="C234" s="15" t="str">
        <x:v>Phase 2: 2/day</x:v>
      </x:c>
      <x:c r="D234" s="15" t="str">
        <x:v>Trees / BST</x:v>
      </x:c>
      <x:c r="E234" s="15" t="str">
        <x:v>Easy</x:v>
      </x:c>
      <x:c r="F234" s="15" t="n">
        <x:v>637</x:v>
      </x:c>
      <x:c r="G234" s="15" t="str">
        <x:v>Average of Levels in Binary Tree</x:v>
      </x:c>
      <x:c r="H234" s="15" t="str">
        <x:v>https://leetcode.com/problems/average-of-levels-in-binary-tree/</x:v>
      </x:c>
      <x:c r="I234" s="15" t="str">
        <x:v>Not Started</x:v>
      </x:c>
      <x:c r="J234" s="39"/>
      <x:c r="K234" s="39"/>
      <x:c r="L234" s="39"/>
      <x:c r="M234" s="15" t="str"/>
      <x:c r="N234" s="15" t="str"/>
      <x:c r="O234" s="15" t="str"/>
      <x:c r="P234" s="15" t="str"/>
      <x:c r="Q234" s="15" t="str">
        <x:v>New Solve</x:v>
      </x:c>
    </x:row>
    <x:row r="235">
      <x:c r="A235" s="15" t="n">
        <x:v>234</x:v>
      </x:c>
      <x:c r="B235" s="39" t="n">
        <x:v>46357</x:v>
      </x:c>
      <x:c r="C235" s="15" t="str">
        <x:v>Phase 2: 2/day</x:v>
      </x:c>
      <x:c r="D235" s="15" t="str">
        <x:v>Trees / BST</x:v>
      </x:c>
      <x:c r="E235" s="15" t="str">
        <x:v>Easy</x:v>
      </x:c>
      <x:c r="F235" s="15" t="n">
        <x:v>700</x:v>
      </x:c>
      <x:c r="G235" s="15" t="str">
        <x:v>Search in a Binary Search Tree</x:v>
      </x:c>
      <x:c r="H235" s="15" t="str">
        <x:v>https://leetcode.com/problems/search-in-a-binary-search-tree/</x:v>
      </x:c>
      <x:c r="I235" s="15" t="str">
        <x:v>Not Started</x:v>
      </x:c>
      <x:c r="J235" s="39"/>
      <x:c r="K235" s="39"/>
      <x:c r="L235" s="39"/>
      <x:c r="M235" s="15" t="str"/>
      <x:c r="N235" s="15" t="str"/>
      <x:c r="O235" s="15" t="str"/>
      <x:c r="P235" s="15" t="str"/>
      <x:c r="Q235" s="15" t="str">
        <x:v>New Solve</x:v>
      </x:c>
    </x:row>
    <x:row r="236">
      <x:c r="A236" s="15" t="n">
        <x:v>235</x:v>
      </x:c>
      <x:c r="B236" s="39" t="n">
        <x:v>46357</x:v>
      </x:c>
      <x:c r="C236" s="15" t="str">
        <x:v>Phase 2: 2/day</x:v>
      </x:c>
      <x:c r="D236" s="15" t="str">
        <x:v>Trees / BST</x:v>
      </x:c>
      <x:c r="E236" s="15" t="str">
        <x:v>Medium</x:v>
      </x:c>
      <x:c r="F236" s="15" t="n">
        <x:v>701</x:v>
      </x:c>
      <x:c r="G236" s="15" t="str">
        <x:v>Insert into a Binary Search Tree</x:v>
      </x:c>
      <x:c r="H236" s="15" t="str">
        <x:v>https://leetcode.com/problems/insert-into-a-binary-search-tree/</x:v>
      </x:c>
      <x:c r="I236" s="15" t="str">
        <x:v>Not Started</x:v>
      </x:c>
      <x:c r="J236" s="39"/>
      <x:c r="K236" s="39"/>
      <x:c r="L236" s="39"/>
      <x:c r="M236" s="15" t="str"/>
      <x:c r="N236" s="15" t="str"/>
      <x:c r="O236" s="15" t="str"/>
      <x:c r="P236" s="15" t="str"/>
      <x:c r="Q236" s="15" t="str">
        <x:v>New Solve</x:v>
      </x:c>
    </x:row>
    <x:row r="237">
      <x:c r="A237" s="15" t="n">
        <x:v>236</x:v>
      </x:c>
      <x:c r="B237" s="39" t="n">
        <x:v>46358</x:v>
      </x:c>
      <x:c r="C237" s="15" t="str">
        <x:v>Phase 2: 2/day</x:v>
      </x:c>
      <x:c r="D237" s="15" t="str">
        <x:v>Trees / BST</x:v>
      </x:c>
      <x:c r="E237" s="15" t="str">
        <x:v>Medium</x:v>
      </x:c>
      <x:c r="F237" s="15" t="n">
        <x:v>98</x:v>
      </x:c>
      <x:c r="G237" s="15" t="str">
        <x:v>Validate Binary Search Tree</x:v>
      </x:c>
      <x:c r="H237" s="15" t="str">
        <x:v>https://leetcode.com/problems/validate-binary-search-tree/</x:v>
      </x:c>
      <x:c r="I237" s="15" t="str">
        <x:v>Not Started</x:v>
      </x:c>
      <x:c r="J237" s="39"/>
      <x:c r="K237" s="39"/>
      <x:c r="L237" s="39"/>
      <x:c r="M237" s="15" t="str"/>
      <x:c r="N237" s="15" t="str"/>
      <x:c r="O237" s="15" t="str"/>
      <x:c r="P237" s="15" t="str"/>
      <x:c r="Q237" s="15" t="str">
        <x:v>New Solve</x:v>
      </x:c>
    </x:row>
    <x:row r="238">
      <x:c r="A238" s="15" t="n">
        <x:v>237</x:v>
      </x:c>
      <x:c r="B238" s="39" t="n">
        <x:v>46358</x:v>
      </x:c>
      <x:c r="C238" s="15" t="str">
        <x:v>Phase 2: 2/day</x:v>
      </x:c>
      <x:c r="D238" s="15" t="str">
        <x:v>Trees / BST</x:v>
      </x:c>
      <x:c r="E238" s="15" t="str">
        <x:v>Medium</x:v>
      </x:c>
      <x:c r="F238" s="15" t="n">
        <x:v>102</x:v>
      </x:c>
      <x:c r="G238" s="15" t="str">
        <x:v>Binary Tree Level Order Traversal</x:v>
      </x:c>
      <x:c r="H238" s="15" t="str">
        <x:v>https://leetcode.com/problems/binary-tree-level-order-traversal/</x:v>
      </x:c>
      <x:c r="I238" s="15" t="str">
        <x:v>Not Started</x:v>
      </x:c>
      <x:c r="J238" s="39"/>
      <x:c r="K238" s="39"/>
      <x:c r="L238" s="39"/>
      <x:c r="M238" s="15" t="str"/>
      <x:c r="N238" s="15" t="str"/>
      <x:c r="O238" s="15" t="str"/>
      <x:c r="P238" s="15" t="str"/>
      <x:c r="Q238" s="15" t="str">
        <x:v>New Solve</x:v>
      </x:c>
    </x:row>
    <x:row r="239">
      <x:c r="A239" s="15" t="n">
        <x:v>238</x:v>
      </x:c>
      <x:c r="B239" s="39" t="n">
        <x:v>46359</x:v>
      </x:c>
      <x:c r="C239" s="15" t="str">
        <x:v>Phase 2: 2/day</x:v>
      </x:c>
      <x:c r="D239" s="15" t="str">
        <x:v>Trees / BST</x:v>
      </x:c>
      <x:c r="E239" s="15" t="str">
        <x:v>Medium</x:v>
      </x:c>
      <x:c r="F239" s="15" t="n">
        <x:v>103</x:v>
      </x:c>
      <x:c r="G239" s="15" t="str">
        <x:v>Binary Tree Zigzag Level Order Traversal</x:v>
      </x:c>
      <x:c r="H239" s="15" t="str">
        <x:v>https://leetcode.com/problems/binary-tree-zigzag-level-order-traversal/</x:v>
      </x:c>
      <x:c r="I239" s="15" t="str">
        <x:v>Not Started</x:v>
      </x:c>
      <x:c r="J239" s="39"/>
      <x:c r="K239" s="39"/>
      <x:c r="L239" s="39"/>
      <x:c r="M239" s="15" t="str"/>
      <x:c r="N239" s="15" t="str"/>
      <x:c r="O239" s="15" t="str"/>
      <x:c r="P239" s="15" t="str"/>
      <x:c r="Q239" s="15" t="str">
        <x:v>New Solve</x:v>
      </x:c>
    </x:row>
    <x:row r="240">
      <x:c r="A240" s="15" t="n">
        <x:v>239</x:v>
      </x:c>
      <x:c r="B240" s="39" t="n">
        <x:v>46359</x:v>
      </x:c>
      <x:c r="C240" s="15" t="str">
        <x:v>Phase 2: 2/day</x:v>
      </x:c>
      <x:c r="D240" s="15" t="str">
        <x:v>Trees / BST</x:v>
      </x:c>
      <x:c r="E240" s="15" t="str">
        <x:v>Medium</x:v>
      </x:c>
      <x:c r="F240" s="15" t="n">
        <x:v>105</x:v>
      </x:c>
      <x:c r="G240" s="15" t="str">
        <x:v>Construct Binary Tree from Preorder and Inorder Traversal</x:v>
      </x:c>
      <x:c r="H240" s="15" t="str">
        <x:v>https://leetcode.com/problems/construct-binary-tree-from-preorder-and-inorder-traversal/</x:v>
      </x:c>
      <x:c r="I240" s="15" t="str">
        <x:v>Not Started</x:v>
      </x:c>
      <x:c r="J240" s="39"/>
      <x:c r="K240" s="39"/>
      <x:c r="L240" s="39"/>
      <x:c r="M240" s="15" t="str"/>
      <x:c r="N240" s="15" t="str"/>
      <x:c r="O240" s="15" t="str"/>
      <x:c r="P240" s="15" t="str"/>
      <x:c r="Q240" s="15" t="str">
        <x:v>New Solve</x:v>
      </x:c>
    </x:row>
    <x:row r="241">
      <x:c r="A241" s="15" t="n">
        <x:v>240</x:v>
      </x:c>
      <x:c r="B241" s="39" t="n">
        <x:v>46360</x:v>
      </x:c>
      <x:c r="C241" s="15" t="str">
        <x:v>Phase 2: 2/day</x:v>
      </x:c>
      <x:c r="D241" s="15" t="str">
        <x:v>Trees / BST</x:v>
      </x:c>
      <x:c r="E241" s="15" t="str">
        <x:v>Medium</x:v>
      </x:c>
      <x:c r="F241" s="15" t="n">
        <x:v>106</x:v>
      </x:c>
      <x:c r="G241" s="15" t="str">
        <x:v>Construct Binary Tree from Inorder and Postorder Traversal</x:v>
      </x:c>
      <x:c r="H241" s="15" t="str">
        <x:v>https://leetcode.com/problems/construct-binary-tree-from-inorder-and-postorder-traversal/</x:v>
      </x:c>
      <x:c r="I241" s="15" t="str">
        <x:v>Not Started</x:v>
      </x:c>
      <x:c r="J241" s="39"/>
      <x:c r="K241" s="39"/>
      <x:c r="L241" s="39"/>
      <x:c r="M241" s="15" t="str"/>
      <x:c r="N241" s="15" t="str"/>
      <x:c r="O241" s="15" t="str"/>
      <x:c r="P241" s="15" t="str"/>
      <x:c r="Q241" s="15" t="str">
        <x:v>New Solve</x:v>
      </x:c>
    </x:row>
    <x:row r="242">
      <x:c r="A242" s="15" t="n">
        <x:v>241</x:v>
      </x:c>
      <x:c r="B242" s="39" t="n">
        <x:v>46360</x:v>
      </x:c>
      <x:c r="C242" s="15" t="str">
        <x:v>Phase 2: 2/day</x:v>
      </x:c>
      <x:c r="D242" s="15" t="str">
        <x:v>Trees / BST</x:v>
      </x:c>
      <x:c r="E242" s="15" t="str">
        <x:v>Medium</x:v>
      </x:c>
      <x:c r="F242" s="15" t="n">
        <x:v>107</x:v>
      </x:c>
      <x:c r="G242" s="15" t="str">
        <x:v>Binary Tree Level Order Traversal II</x:v>
      </x:c>
      <x:c r="H242" s="15" t="str">
        <x:v>https://leetcode.com/problems/binary-tree-level-order-traversal-ii/</x:v>
      </x:c>
      <x:c r="I242" s="15" t="str">
        <x:v>Not Started</x:v>
      </x:c>
      <x:c r="J242" s="39"/>
      <x:c r="K242" s="39"/>
      <x:c r="L242" s="39"/>
      <x:c r="M242" s="15" t="str"/>
      <x:c r="N242" s="15" t="str"/>
      <x:c r="O242" s="15" t="str"/>
      <x:c r="P242" s="15" t="str"/>
      <x:c r="Q242" s="15" t="str">
        <x:v>New Solve</x:v>
      </x:c>
    </x:row>
    <x:row r="243">
      <x:c r="A243" s="15" t="n">
        <x:v>242</x:v>
      </x:c>
      <x:c r="B243" s="39" t="n">
        <x:v>46361</x:v>
      </x:c>
      <x:c r="C243" s="15" t="str">
        <x:v>Phase 2: 2/day</x:v>
      </x:c>
      <x:c r="D243" s="15" t="str">
        <x:v>Trees / BST</x:v>
      </x:c>
      <x:c r="E243" s="15" t="str">
        <x:v>Medium</x:v>
      </x:c>
      <x:c r="F243" s="15" t="n">
        <x:v>114</x:v>
      </x:c>
      <x:c r="G243" s="15" t="str">
        <x:v>Flatten Binary Tree to Linked List</x:v>
      </x:c>
      <x:c r="H243" s="15" t="str">
        <x:v>https://leetcode.com/problems/flatten-binary-tree-to-linked-list/</x:v>
      </x:c>
      <x:c r="I243" s="15" t="str">
        <x:v>Not Started</x:v>
      </x:c>
      <x:c r="J243" s="39"/>
      <x:c r="K243" s="39"/>
      <x:c r="L243" s="39"/>
      <x:c r="M243" s="15" t="str"/>
      <x:c r="N243" s="15" t="str"/>
      <x:c r="O243" s="15" t="str"/>
      <x:c r="P243" s="15" t="str"/>
      <x:c r="Q243" s="15" t="str">
        <x:v>New Solve</x:v>
      </x:c>
    </x:row>
    <x:row r="244">
      <x:c r="A244" s="15" t="n">
        <x:v>243</x:v>
      </x:c>
      <x:c r="B244" s="39" t="n">
        <x:v>46361</x:v>
      </x:c>
      <x:c r="C244" s="15" t="str">
        <x:v>Phase 2: 2/day</x:v>
      </x:c>
      <x:c r="D244" s="15" t="str">
        <x:v>Trees / BST</x:v>
      </x:c>
      <x:c r="E244" s="15" t="str">
        <x:v>Medium</x:v>
      </x:c>
      <x:c r="F244" s="15" t="n">
        <x:v>116</x:v>
      </x:c>
      <x:c r="G244" s="15" t="str">
        <x:v>Populating Next Right Pointers in Each Node</x:v>
      </x:c>
      <x:c r="H244" s="15" t="str">
        <x:v>https://leetcode.com/problems/populating-next-right-pointers-in-each-node/</x:v>
      </x:c>
      <x:c r="I244" s="15" t="str">
        <x:v>Not Started</x:v>
      </x:c>
      <x:c r="J244" s="39"/>
      <x:c r="K244" s="39"/>
      <x:c r="L244" s="39"/>
      <x:c r="M244" s="15" t="str"/>
      <x:c r="N244" s="15" t="str"/>
      <x:c r="O244" s="15" t="str"/>
      <x:c r="P244" s="15" t="str"/>
      <x:c r="Q244" s="15" t="str">
        <x:v>New Solve</x:v>
      </x:c>
    </x:row>
    <x:row r="245">
      <x:c r="A245" s="15" t="n">
        <x:v>244</x:v>
      </x:c>
      <x:c r="B245" s="39" t="n">
        <x:v>46362</x:v>
      </x:c>
      <x:c r="C245" s="15" t="str">
        <x:v>Phase 2: 2/day</x:v>
      </x:c>
      <x:c r="D245" s="15" t="str">
        <x:v>Trees / BST</x:v>
      </x:c>
      <x:c r="E245" s="15" t="str">
        <x:v>Medium</x:v>
      </x:c>
      <x:c r="F245" s="15" t="n">
        <x:v>117</x:v>
      </x:c>
      <x:c r="G245" s="15" t="str">
        <x:v>Populating Next Right Pointers in Each Node II</x:v>
      </x:c>
      <x:c r="H245" s="15" t="str">
        <x:v>https://leetcode.com/problems/populating-next-right-pointers-in-each-node-ii/</x:v>
      </x:c>
      <x:c r="I245" s="15" t="str">
        <x:v>Not Started</x:v>
      </x:c>
      <x:c r="J245" s="39"/>
      <x:c r="K245" s="39"/>
      <x:c r="L245" s="39"/>
      <x:c r="M245" s="15" t="str"/>
      <x:c r="N245" s="15" t="str"/>
      <x:c r="O245" s="15" t="str"/>
      <x:c r="P245" s="15" t="str"/>
      <x:c r="Q245" s="15" t="str">
        <x:v>New Solve</x:v>
      </x:c>
    </x:row>
    <x:row r="246">
      <x:c r="A246" s="15" t="n">
        <x:v>245</x:v>
      </x:c>
      <x:c r="B246" s="39" t="n">
        <x:v>46362</x:v>
      </x:c>
      <x:c r="C246" s="15" t="str">
        <x:v>Phase 2: 2/day</x:v>
      </x:c>
      <x:c r="D246" s="15" t="str">
        <x:v>Trees / BST</x:v>
      </x:c>
      <x:c r="E246" s="15" t="str">
        <x:v>Medium</x:v>
      </x:c>
      <x:c r="F246" s="15" t="n">
        <x:v>129</x:v>
      </x:c>
      <x:c r="G246" s="15" t="str">
        <x:v>Sum Root to Leaf Numbers</x:v>
      </x:c>
      <x:c r="H246" s="15" t="str">
        <x:v>https://leetcode.com/problems/sum-root-to-leaf-numbers/</x:v>
      </x:c>
      <x:c r="I246" s="15" t="str">
        <x:v>Not Started</x:v>
      </x:c>
      <x:c r="J246" s="39"/>
      <x:c r="K246" s="39"/>
      <x:c r="L246" s="39"/>
      <x:c r="M246" s="15" t="str"/>
      <x:c r="N246" s="15" t="str"/>
      <x:c r="O246" s="15" t="str"/>
      <x:c r="P246" s="15" t="str"/>
      <x:c r="Q246" s="15" t="str">
        <x:v>New Solve</x:v>
      </x:c>
    </x:row>
    <x:row r="247">
      <x:c r="A247" s="15" t="n">
        <x:v>246</x:v>
      </x:c>
      <x:c r="B247" s="39" t="n">
        <x:v>46363</x:v>
      </x:c>
      <x:c r="C247" s="15" t="str">
        <x:v>Phase 2: 2/day</x:v>
      </x:c>
      <x:c r="D247" s="15" t="str">
        <x:v>Trees / BST</x:v>
      </x:c>
      <x:c r="E247" s="15" t="str">
        <x:v>Medium</x:v>
      </x:c>
      <x:c r="F247" s="15" t="n">
        <x:v>173</x:v>
      </x:c>
      <x:c r="G247" s="15" t="str">
        <x:v>Binary Search Tree Iterator</x:v>
      </x:c>
      <x:c r="H247" s="15" t="str">
        <x:v>https://leetcode.com/problems/binary-search-tree-iterator/</x:v>
      </x:c>
      <x:c r="I247" s="15" t="str">
        <x:v>Not Started</x:v>
      </x:c>
      <x:c r="J247" s="39"/>
      <x:c r="K247" s="39"/>
      <x:c r="L247" s="39"/>
      <x:c r="M247" s="15" t="str"/>
      <x:c r="N247" s="15" t="str"/>
      <x:c r="O247" s="15" t="str"/>
      <x:c r="P247" s="15" t="str"/>
      <x:c r="Q247" s="15" t="str">
        <x:v>New Solve</x:v>
      </x:c>
    </x:row>
    <x:row r="248">
      <x:c r="A248" s="15" t="n">
        <x:v>247</x:v>
      </x:c>
      <x:c r="B248" s="39" t="n">
        <x:v>46363</x:v>
      </x:c>
      <x:c r="C248" s="15" t="str">
        <x:v>Phase 2: 2/day</x:v>
      </x:c>
      <x:c r="D248" s="15" t="str">
        <x:v>Trees / BST</x:v>
      </x:c>
      <x:c r="E248" s="15" t="str">
        <x:v>Medium</x:v>
      </x:c>
      <x:c r="F248" s="15" t="n">
        <x:v>199</x:v>
      </x:c>
      <x:c r="G248" s="15" t="str">
        <x:v>Binary Tree Right Side View</x:v>
      </x:c>
      <x:c r="H248" s="15" t="str">
        <x:v>https://leetcode.com/problems/binary-tree-right-side-view/</x:v>
      </x:c>
      <x:c r="I248" s="15" t="str">
        <x:v>Not Started</x:v>
      </x:c>
      <x:c r="J248" s="39"/>
      <x:c r="K248" s="39"/>
      <x:c r="L248" s="39"/>
      <x:c r="M248" s="15" t="str"/>
      <x:c r="N248" s="15" t="str"/>
      <x:c r="O248" s="15" t="str"/>
      <x:c r="P248" s="15" t="str"/>
      <x:c r="Q248" s="15" t="str">
        <x:v>New Solve</x:v>
      </x:c>
    </x:row>
    <x:row r="249">
      <x:c r="A249" s="15" t="n">
        <x:v>248</x:v>
      </x:c>
      <x:c r="B249" s="39" t="n">
        <x:v>46364</x:v>
      </x:c>
      <x:c r="C249" s="15" t="str">
        <x:v>Phase 2: 2/day</x:v>
      </x:c>
      <x:c r="D249" s="15" t="str">
        <x:v>Trees / BST</x:v>
      </x:c>
      <x:c r="E249" s="15" t="str">
        <x:v>Medium</x:v>
      </x:c>
      <x:c r="F249" s="15" t="n">
        <x:v>230</x:v>
      </x:c>
      <x:c r="G249" s="15" t="str">
        <x:v>Kth Smallest Element in a BST</x:v>
      </x:c>
      <x:c r="H249" s="15" t="str">
        <x:v>https://leetcode.com/problems/kth-smallest-element-in-a-bst/</x:v>
      </x:c>
      <x:c r="I249" s="15" t="str">
        <x:v>Not Started</x:v>
      </x:c>
      <x:c r="J249" s="39"/>
      <x:c r="K249" s="39"/>
      <x:c r="L249" s="39"/>
      <x:c r="M249" s="15" t="str"/>
      <x:c r="N249" s="15" t="str"/>
      <x:c r="O249" s="15" t="str"/>
      <x:c r="P249" s="15" t="str"/>
      <x:c r="Q249" s="15" t="str">
        <x:v>New Solve</x:v>
      </x:c>
    </x:row>
    <x:row r="250">
      <x:c r="A250" s="15" t="n">
        <x:v>249</x:v>
      </x:c>
      <x:c r="B250" s="39" t="n">
        <x:v>46364</x:v>
      </x:c>
      <x:c r="C250" s="15" t="str">
        <x:v>Phase 2: 2/day</x:v>
      </x:c>
      <x:c r="D250" s="15" t="str">
        <x:v>Trees / BST</x:v>
      </x:c>
      <x:c r="E250" s="15" t="str">
        <x:v>Medium</x:v>
      </x:c>
      <x:c r="F250" s="15" t="n">
        <x:v>235</x:v>
      </x:c>
      <x:c r="G250" s="15" t="str">
        <x:v>Lowest Common Ancestor of a Binary Search Tree</x:v>
      </x:c>
      <x:c r="H250" s="15" t="str">
        <x:v>https://leetcode.com/problems/lowest-common-ancestor-of-a-binary-search-tree/</x:v>
      </x:c>
      <x:c r="I250" s="15" t="str">
        <x:v>Not Started</x:v>
      </x:c>
      <x:c r="J250" s="39"/>
      <x:c r="K250" s="39"/>
      <x:c r="L250" s="39"/>
      <x:c r="M250" s="15" t="str"/>
      <x:c r="N250" s="15" t="str"/>
      <x:c r="O250" s="15" t="str"/>
      <x:c r="P250" s="15" t="str"/>
      <x:c r="Q250" s="15" t="str">
        <x:v>New Solve</x:v>
      </x:c>
    </x:row>
    <x:row r="251">
      <x:c r="A251" s="15" t="n">
        <x:v>250</x:v>
      </x:c>
      <x:c r="B251" s="39" t="n">
        <x:v>46365</x:v>
      </x:c>
      <x:c r="C251" s="15" t="str">
        <x:v>Phase 2: 2/day</x:v>
      </x:c>
      <x:c r="D251" s="15" t="str">
        <x:v>Trees / BST</x:v>
      </x:c>
      <x:c r="E251" s="15" t="str">
        <x:v>Medium</x:v>
      </x:c>
      <x:c r="F251" s="15" t="n">
        <x:v>236</x:v>
      </x:c>
      <x:c r="G251" s="15" t="str">
        <x:v>Lowest Common Ancestor of a Binary Tree</x:v>
      </x:c>
      <x:c r="H251" s="15" t="str">
        <x:v>https://leetcode.com/problems/lowest-common-ancestor-of-a-binary-tree/</x:v>
      </x:c>
      <x:c r="I251" s="15" t="str">
        <x:v>Not Started</x:v>
      </x:c>
      <x:c r="J251" s="39"/>
      <x:c r="K251" s="39"/>
      <x:c r="L251" s="39"/>
      <x:c r="M251" s="15" t="str"/>
      <x:c r="N251" s="15" t="str"/>
      <x:c r="O251" s="15" t="str"/>
      <x:c r="P251" s="15" t="str"/>
      <x:c r="Q251" s="15" t="str">
        <x:v>New Solve</x:v>
      </x:c>
    </x:row>
    <x:row r="252">
      <x:c r="A252" s="15" t="n">
        <x:v>251</x:v>
      </x:c>
      <x:c r="B252" s="39" t="n">
        <x:v>46365</x:v>
      </x:c>
      <x:c r="C252" s="15" t="str">
        <x:v>Phase 2: 2/day</x:v>
      </x:c>
      <x:c r="D252" s="15" t="str">
        <x:v>Trees / BST</x:v>
      </x:c>
      <x:c r="E252" s="15" t="str">
        <x:v>Medium</x:v>
      </x:c>
      <x:c r="F252" s="15" t="n">
        <x:v>437</x:v>
      </x:c>
      <x:c r="G252" s="15" t="str">
        <x:v>Path Sum III</x:v>
      </x:c>
      <x:c r="H252" s="15" t="str">
        <x:v>https://leetcode.com/problems/path-sum-iii/</x:v>
      </x:c>
      <x:c r="I252" s="15" t="str">
        <x:v>Not Started</x:v>
      </x:c>
      <x:c r="J252" s="39"/>
      <x:c r="K252" s="39"/>
      <x:c r="L252" s="39"/>
      <x:c r="M252" s="15" t="str"/>
      <x:c r="N252" s="15" t="str"/>
      <x:c r="O252" s="15" t="str"/>
      <x:c r="P252" s="15" t="str"/>
      <x:c r="Q252" s="15" t="str">
        <x:v>New Solve</x:v>
      </x:c>
    </x:row>
    <x:row r="253">
      <x:c r="A253" s="15" t="n">
        <x:v>252</x:v>
      </x:c>
      <x:c r="B253" s="39" t="n">
        <x:v>46366</x:v>
      </x:c>
      <x:c r="C253" s="15" t="str">
        <x:v>Phase 2: 2/day</x:v>
      </x:c>
      <x:c r="D253" s="15" t="str">
        <x:v>Trees / BST</x:v>
      </x:c>
      <x:c r="E253" s="15" t="str">
        <x:v>Medium</x:v>
      </x:c>
      <x:c r="F253" s="15" t="n">
        <x:v>450</x:v>
      </x:c>
      <x:c r="G253" s="15" t="str">
        <x:v>Delete Node in a BST</x:v>
      </x:c>
      <x:c r="H253" s="15" t="str">
        <x:v>https://leetcode.com/problems/delete-node-in-a-bst/</x:v>
      </x:c>
      <x:c r="I253" s="15" t="str">
        <x:v>Not Started</x:v>
      </x:c>
      <x:c r="J253" s="39"/>
      <x:c r="K253" s="39"/>
      <x:c r="L253" s="39"/>
      <x:c r="M253" s="15" t="str"/>
      <x:c r="N253" s="15" t="str"/>
      <x:c r="O253" s="15" t="str"/>
      <x:c r="P253" s="15" t="str"/>
      <x:c r="Q253" s="15" t="str">
        <x:v>New Solve</x:v>
      </x:c>
    </x:row>
    <x:row r="254">
      <x:c r="A254" s="15" t="n">
        <x:v>253</x:v>
      </x:c>
      <x:c r="B254" s="39" t="n">
        <x:v>46366</x:v>
      </x:c>
      <x:c r="C254" s="15" t="str">
        <x:v>Phase 2: 2/day</x:v>
      </x:c>
      <x:c r="D254" s="15" t="str">
        <x:v>Trees / BST</x:v>
      </x:c>
      <x:c r="E254" s="15" t="str">
        <x:v>Medium</x:v>
      </x:c>
      <x:c r="F254" s="15" t="n">
        <x:v>513</x:v>
      </x:c>
      <x:c r="G254" s="15" t="str">
        <x:v>Find Bottom Left Tree Value</x:v>
      </x:c>
      <x:c r="H254" s="15" t="str">
        <x:v>https://leetcode.com/problems/find-bottom-left-tree-value/</x:v>
      </x:c>
      <x:c r="I254" s="15" t="str">
        <x:v>Not Started</x:v>
      </x:c>
      <x:c r="J254" s="39"/>
      <x:c r="K254" s="39"/>
      <x:c r="L254" s="39"/>
      <x:c r="M254" s="15" t="str"/>
      <x:c r="N254" s="15" t="str"/>
      <x:c r="O254" s="15" t="str"/>
      <x:c r="P254" s="15" t="str"/>
      <x:c r="Q254" s="15" t="str">
        <x:v>New Solve</x:v>
      </x:c>
    </x:row>
    <x:row r="255">
      <x:c r="A255" s="15" t="n">
        <x:v>254</x:v>
      </x:c>
      <x:c r="B255" s="39" t="n">
        <x:v>46367</x:v>
      </x:c>
      <x:c r="C255" s="15" t="str">
        <x:v>Phase 2: 2/day</x:v>
      </x:c>
      <x:c r="D255" s="15" t="str">
        <x:v>Trees / BST</x:v>
      </x:c>
      <x:c r="E255" s="15" t="str">
        <x:v>Medium</x:v>
      </x:c>
      <x:c r="F255" s="15" t="n">
        <x:v>515</x:v>
      </x:c>
      <x:c r="G255" s="15" t="str">
        <x:v>Find Largest Value in Each Tree Row</x:v>
      </x:c>
      <x:c r="H255" s="15" t="str">
        <x:v>https://leetcode.com/problems/find-largest-value-in-each-tree-row/</x:v>
      </x:c>
      <x:c r="I255" s="15" t="str">
        <x:v>Not Started</x:v>
      </x:c>
      <x:c r="J255" s="39"/>
      <x:c r="K255" s="39"/>
      <x:c r="L255" s="39"/>
      <x:c r="M255" s="15" t="str"/>
      <x:c r="N255" s="15" t="str"/>
      <x:c r="O255" s="15" t="str"/>
      <x:c r="P255" s="15" t="str"/>
      <x:c r="Q255" s="15" t="str">
        <x:v>New Solve</x:v>
      </x:c>
    </x:row>
    <x:row r="256">
      <x:c r="A256" s="15" t="n">
        <x:v>255</x:v>
      </x:c>
      <x:c r="B256" s="39" t="n">
        <x:v>46367</x:v>
      </x:c>
      <x:c r="C256" s="15" t="str">
        <x:v>Phase 2: 2/day</x:v>
      </x:c>
      <x:c r="D256" s="15" t="str">
        <x:v>Trees / BST</x:v>
      </x:c>
      <x:c r="E256" s="15" t="str">
        <x:v>Medium</x:v>
      </x:c>
      <x:c r="F256" s="15" t="n">
        <x:v>538</x:v>
      </x:c>
      <x:c r="G256" s="15" t="str">
        <x:v>Convert BST to Greater Tree</x:v>
      </x:c>
      <x:c r="H256" s="15" t="str">
        <x:v>https://leetcode.com/problems/convert-bst-to-greater-tree/</x:v>
      </x:c>
      <x:c r="I256" s="15" t="str">
        <x:v>Not Started</x:v>
      </x:c>
      <x:c r="J256" s="39"/>
      <x:c r="K256" s="39"/>
      <x:c r="L256" s="39"/>
      <x:c r="M256" s="15" t="str"/>
      <x:c r="N256" s="15" t="str"/>
      <x:c r="O256" s="15" t="str"/>
      <x:c r="P256" s="15" t="str"/>
      <x:c r="Q256" s="15" t="str">
        <x:v>New Solve</x:v>
      </x:c>
    </x:row>
    <x:row r="257">
      <x:c r="A257" s="15" t="n">
        <x:v>256</x:v>
      </x:c>
      <x:c r="B257" s="39" t="n">
        <x:v>46368</x:v>
      </x:c>
      <x:c r="C257" s="15" t="str">
        <x:v>Phase 2: 2/day</x:v>
      </x:c>
      <x:c r="D257" s="15" t="str">
        <x:v>Trees / BST</x:v>
      </x:c>
      <x:c r="E257" s="15" t="str">
        <x:v>Medium</x:v>
      </x:c>
      <x:c r="F257" s="15" t="n">
        <x:v>662</x:v>
      </x:c>
      <x:c r="G257" s="15" t="str">
        <x:v>Maximum Width of Binary Tree</x:v>
      </x:c>
      <x:c r="H257" s="15" t="str">
        <x:v>https://leetcode.com/problems/maximum-width-of-binary-tree/</x:v>
      </x:c>
      <x:c r="I257" s="15" t="str">
        <x:v>Not Started</x:v>
      </x:c>
      <x:c r="J257" s="39"/>
      <x:c r="K257" s="39"/>
      <x:c r="L257" s="39"/>
      <x:c r="M257" s="15" t="str"/>
      <x:c r="N257" s="15" t="str"/>
      <x:c r="O257" s="15" t="str"/>
      <x:c r="P257" s="15" t="str"/>
      <x:c r="Q257" s="15" t="str">
        <x:v>New Solve</x:v>
      </x:c>
    </x:row>
    <x:row r="258">
      <x:c r="A258" s="15" t="n">
        <x:v>257</x:v>
      </x:c>
      <x:c r="B258" s="39" t="n">
        <x:v>46368</x:v>
      </x:c>
      <x:c r="C258" s="15" t="str">
        <x:v>Phase 2: 2/day</x:v>
      </x:c>
      <x:c r="D258" s="15" t="str">
        <x:v>Trees / BST</x:v>
      </x:c>
      <x:c r="E258" s="15" t="str">
        <x:v>Medium</x:v>
      </x:c>
      <x:c r="F258" s="15" t="n">
        <x:v>863</x:v>
      </x:c>
      <x:c r="G258" s="15" t="str">
        <x:v>All Nodes Distance K in Binary Tree</x:v>
      </x:c>
      <x:c r="H258" s="15" t="str">
        <x:v>https://leetcode.com/problems/all-nodes-distance-k-in-binary-tree/</x:v>
      </x:c>
      <x:c r="I258" s="15" t="str">
        <x:v>Not Started</x:v>
      </x:c>
      <x:c r="J258" s="39"/>
      <x:c r="K258" s="39"/>
      <x:c r="L258" s="39"/>
      <x:c r="M258" s="15" t="str"/>
      <x:c r="N258" s="15" t="str"/>
      <x:c r="O258" s="15" t="str"/>
      <x:c r="P258" s="15" t="str"/>
      <x:c r="Q258" s="15" t="str">
        <x:v>New Solve</x:v>
      </x:c>
    </x:row>
    <x:row r="259">
      <x:c r="A259" s="15" t="n">
        <x:v>258</x:v>
      </x:c>
      <x:c r="B259" s="39" t="n">
        <x:v>46369</x:v>
      </x:c>
      <x:c r="C259" s="15" t="str">
        <x:v>Phase 2: 2/day</x:v>
      </x:c>
      <x:c r="D259" s="15" t="str">
        <x:v>Trees / BST</x:v>
      </x:c>
      <x:c r="E259" s="15" t="str">
        <x:v>Medium</x:v>
      </x:c>
      <x:c r="F259" s="15" t="n">
        <x:v>889</x:v>
      </x:c>
      <x:c r="G259" s="15" t="str">
        <x:v>Construct Binary Tree from Preorder and Postorder Traversal</x:v>
      </x:c>
      <x:c r="H259" s="15" t="str">
        <x:v>https://leetcode.com/problems/construct-binary-tree-from-preorder-and-postorder-traversal/</x:v>
      </x:c>
      <x:c r="I259" s="15" t="str">
        <x:v>Not Started</x:v>
      </x:c>
      <x:c r="J259" s="39"/>
      <x:c r="K259" s="39"/>
      <x:c r="L259" s="39"/>
      <x:c r="M259" s="15" t="str"/>
      <x:c r="N259" s="15" t="str"/>
      <x:c r="O259" s="15" t="str"/>
      <x:c r="P259" s="15" t="str"/>
      <x:c r="Q259" s="15" t="str">
        <x:v>New Solve</x:v>
      </x:c>
    </x:row>
    <x:row r="260">
      <x:c r="A260" s="15" t="n">
        <x:v>259</x:v>
      </x:c>
      <x:c r="B260" s="39" t="n">
        <x:v>46369</x:v>
      </x:c>
      <x:c r="C260" s="15" t="str">
        <x:v>Phase 2: 2/day</x:v>
      </x:c>
      <x:c r="D260" s="15" t="str">
        <x:v>Trees / BST</x:v>
      </x:c>
      <x:c r="E260" s="15" t="str">
        <x:v>Medium</x:v>
      </x:c>
      <x:c r="F260" s="15" t="n">
        <x:v>958</x:v>
      </x:c>
      <x:c r="G260" s="15" t="str">
        <x:v>Check Completeness of a Binary Tree</x:v>
      </x:c>
      <x:c r="H260" s="15" t="str">
        <x:v>https://leetcode.com/problems/check-completeness-of-a-binary-tree/</x:v>
      </x:c>
      <x:c r="I260" s="15" t="str">
        <x:v>Not Started</x:v>
      </x:c>
      <x:c r="J260" s="39"/>
      <x:c r="K260" s="39"/>
      <x:c r="L260" s="39"/>
      <x:c r="M260" s="15" t="str"/>
      <x:c r="N260" s="15" t="str"/>
      <x:c r="O260" s="15" t="str"/>
      <x:c r="P260" s="15" t="str"/>
      <x:c r="Q260" s="15" t="str">
        <x:v>New Solve</x:v>
      </x:c>
    </x:row>
    <x:row r="261">
      <x:c r="A261" s="15" t="n">
        <x:v>260</x:v>
      </x:c>
      <x:c r="B261" s="39" t="n">
        <x:v>46370</x:v>
      </x:c>
      <x:c r="C261" s="15" t="str">
        <x:v>Phase 2: 2/day</x:v>
      </x:c>
      <x:c r="D261" s="15" t="str">
        <x:v>Trees / BST</x:v>
      </x:c>
      <x:c r="E261" s="15" t="str">
        <x:v>Medium</x:v>
      </x:c>
      <x:c r="F261" s="15" t="n">
        <x:v>979</x:v>
      </x:c>
      <x:c r="G261" s="15" t="str">
        <x:v>Distribute Coins in Binary Tree</x:v>
      </x:c>
      <x:c r="H261" s="15" t="str">
        <x:v>https://leetcode.com/problems/distribute-coins-in-binary-tree/</x:v>
      </x:c>
      <x:c r="I261" s="15" t="str">
        <x:v>Not Started</x:v>
      </x:c>
      <x:c r="J261" s="39"/>
      <x:c r="K261" s="39"/>
      <x:c r="L261" s="39"/>
      <x:c r="M261" s="15" t="str"/>
      <x:c r="N261" s="15" t="str"/>
      <x:c r="O261" s="15" t="str"/>
      <x:c r="P261" s="15" t="str"/>
      <x:c r="Q261" s="15" t="str">
        <x:v>New Solve</x:v>
      </x:c>
    </x:row>
    <x:row r="262">
      <x:c r="A262" s="15" t="n">
        <x:v>261</x:v>
      </x:c>
      <x:c r="B262" s="39" t="n">
        <x:v>46370</x:v>
      </x:c>
      <x:c r="C262" s="15" t="str">
        <x:v>Phase 2: 2/day</x:v>
      </x:c>
      <x:c r="D262" s="15" t="str">
        <x:v>Graphs</x:v>
      </x:c>
      <x:c r="E262" s="15" t="str">
        <x:v>Medium</x:v>
      </x:c>
      <x:c r="F262" s="15" t="n">
        <x:v>200</x:v>
      </x:c>
      <x:c r="G262" s="15" t="str">
        <x:v>Number of Islands</x:v>
      </x:c>
      <x:c r="H262" s="15" t="str">
        <x:v>https://leetcode.com/problems/number-of-islands/</x:v>
      </x:c>
      <x:c r="I262" s="15" t="str">
        <x:v>Not Started</x:v>
      </x:c>
      <x:c r="J262" s="39"/>
      <x:c r="K262" s="39"/>
      <x:c r="L262" s="39"/>
      <x:c r="M262" s="15" t="str"/>
      <x:c r="N262" s="15" t="str"/>
      <x:c r="O262" s="15" t="str"/>
      <x:c r="P262" s="15" t="str"/>
      <x:c r="Q262" s="15" t="str">
        <x:v>New Solve</x:v>
      </x:c>
    </x:row>
    <x:row r="263">
      <x:c r="A263" s="15" t="n">
        <x:v>262</x:v>
      </x:c>
      <x:c r="B263" s="39" t="n">
        <x:v>46371</x:v>
      </x:c>
      <x:c r="C263" s="15" t="str">
        <x:v>Phase 2: 2/day</x:v>
      </x:c>
      <x:c r="D263" s="15" t="str">
        <x:v>Graphs</x:v>
      </x:c>
      <x:c r="E263" s="15" t="str">
        <x:v>Medium</x:v>
      </x:c>
      <x:c r="F263" s="15" t="n">
        <x:v>133</x:v>
      </x:c>
      <x:c r="G263" s="15" t="str">
        <x:v>Clone Graph</x:v>
      </x:c>
      <x:c r="H263" s="15" t="str">
        <x:v>https://leetcode.com/problems/clone-graph/</x:v>
      </x:c>
      <x:c r="I263" s="15" t="str">
        <x:v>Not Started</x:v>
      </x:c>
      <x:c r="J263" s="39"/>
      <x:c r="K263" s="39"/>
      <x:c r="L263" s="39"/>
      <x:c r="M263" s="15" t="str"/>
      <x:c r="N263" s="15" t="str"/>
      <x:c r="O263" s="15" t="str"/>
      <x:c r="P263" s="15" t="str"/>
      <x:c r="Q263" s="15" t="str">
        <x:v>New Solve</x:v>
      </x:c>
    </x:row>
    <x:row r="264">
      <x:c r="A264" s="15" t="n">
        <x:v>263</x:v>
      </x:c>
      <x:c r="B264" s="39" t="n">
        <x:v>46371</x:v>
      </x:c>
      <x:c r="C264" s="15" t="str">
        <x:v>Phase 2: 2/day</x:v>
      </x:c>
      <x:c r="D264" s="15" t="str">
        <x:v>Graphs</x:v>
      </x:c>
      <x:c r="E264" s="15" t="str">
        <x:v>Medium</x:v>
      </x:c>
      <x:c r="F264" s="15" t="n">
        <x:v>207</x:v>
      </x:c>
      <x:c r="G264" s="15" t="str">
        <x:v>Course Schedule</x:v>
      </x:c>
      <x:c r="H264" s="15" t="str">
        <x:v>https://leetcode.com/problems/course-schedule/</x:v>
      </x:c>
      <x:c r="I264" s="15" t="str">
        <x:v>Not Started</x:v>
      </x:c>
      <x:c r="J264" s="39"/>
      <x:c r="K264" s="39"/>
      <x:c r="L264" s="39"/>
      <x:c r="M264" s="15" t="str"/>
      <x:c r="N264" s="15" t="str"/>
      <x:c r="O264" s="15" t="str"/>
      <x:c r="P264" s="15" t="str"/>
      <x:c r="Q264" s="15" t="str">
        <x:v>New Solve</x:v>
      </x:c>
    </x:row>
    <x:row r="265">
      <x:c r="A265" s="15" t="n">
        <x:v>264</x:v>
      </x:c>
      <x:c r="B265" s="39" t="n">
        <x:v>46372</x:v>
      </x:c>
      <x:c r="C265" s="15" t="str">
        <x:v>Phase 2: 2/day</x:v>
      </x:c>
      <x:c r="D265" s="15" t="str">
        <x:v>Graphs</x:v>
      </x:c>
      <x:c r="E265" s="15" t="str">
        <x:v>Medium</x:v>
      </x:c>
      <x:c r="F265" s="15" t="n">
        <x:v>210</x:v>
      </x:c>
      <x:c r="G265" s="15" t="str">
        <x:v>Course Schedule II</x:v>
      </x:c>
      <x:c r="H265" s="15" t="str">
        <x:v>https://leetcode.com/problems/course-schedule-ii/</x:v>
      </x:c>
      <x:c r="I265" s="15" t="str">
        <x:v>Not Started</x:v>
      </x:c>
      <x:c r="J265" s="39"/>
      <x:c r="K265" s="39"/>
      <x:c r="L265" s="39"/>
      <x:c r="M265" s="15" t="str"/>
      <x:c r="N265" s="15" t="str"/>
      <x:c r="O265" s="15" t="str"/>
      <x:c r="P265" s="15" t="str"/>
      <x:c r="Q265" s="15" t="str">
        <x:v>New Solve</x:v>
      </x:c>
    </x:row>
    <x:row r="266">
      <x:c r="A266" s="15" t="n">
        <x:v>265</x:v>
      </x:c>
      <x:c r="B266" s="39" t="n">
        <x:v>46372</x:v>
      </x:c>
      <x:c r="C266" s="15" t="str">
        <x:v>Phase 2: 2/day</x:v>
      </x:c>
      <x:c r="D266" s="15" t="str">
        <x:v>Graphs</x:v>
      </x:c>
      <x:c r="E266" s="15" t="str">
        <x:v>Medium</x:v>
      </x:c>
      <x:c r="F266" s="15" t="n">
        <x:v>547</x:v>
      </x:c>
      <x:c r="G266" s="15" t="str">
        <x:v>Number of Provinces</x:v>
      </x:c>
      <x:c r="H266" s="15" t="str">
        <x:v>https://leetcode.com/problems/number-of-provinces/</x:v>
      </x:c>
      <x:c r="I266" s="15" t="str">
        <x:v>Not Started</x:v>
      </x:c>
      <x:c r="J266" s="39"/>
      <x:c r="K266" s="39"/>
      <x:c r="L266" s="39"/>
      <x:c r="M266" s="15" t="str"/>
      <x:c r="N266" s="15" t="str"/>
      <x:c r="O266" s="15" t="str"/>
      <x:c r="P266" s="15" t="str"/>
      <x:c r="Q266" s="15" t="str">
        <x:v>New Solve</x:v>
      </x:c>
    </x:row>
    <x:row r="267">
      <x:c r="A267" s="15" t="n">
        <x:v>266</x:v>
      </x:c>
      <x:c r="B267" s="39" t="n">
        <x:v>46373</x:v>
      </x:c>
      <x:c r="C267" s="15" t="str">
        <x:v>Phase 2: 2/day</x:v>
      </x:c>
      <x:c r="D267" s="15" t="str">
        <x:v>Graphs</x:v>
      </x:c>
      <x:c r="E267" s="15" t="str">
        <x:v>Medium</x:v>
      </x:c>
      <x:c r="F267" s="15" t="n">
        <x:v>695</x:v>
      </x:c>
      <x:c r="G267" s="15" t="str">
        <x:v>Max Area of Island</x:v>
      </x:c>
      <x:c r="H267" s="15" t="str">
        <x:v>https://leetcode.com/problems/max-area-of-island/</x:v>
      </x:c>
      <x:c r="I267" s="15" t="str">
        <x:v>Not Started</x:v>
      </x:c>
      <x:c r="J267" s="39"/>
      <x:c r="K267" s="39"/>
      <x:c r="L267" s="39"/>
      <x:c r="M267" s="15" t="str"/>
      <x:c r="N267" s="15" t="str"/>
      <x:c r="O267" s="15" t="str"/>
      <x:c r="P267" s="15" t="str"/>
      <x:c r="Q267" s="15" t="str">
        <x:v>New Solve</x:v>
      </x:c>
    </x:row>
    <x:row r="268">
      <x:c r="A268" s="15" t="n">
        <x:v>267</x:v>
      </x:c>
      <x:c r="B268" s="39" t="n">
        <x:v>46373</x:v>
      </x:c>
      <x:c r="C268" s="15" t="str">
        <x:v>Phase 2: 2/day</x:v>
      </x:c>
      <x:c r="D268" s="15" t="str">
        <x:v>Graphs</x:v>
      </x:c>
      <x:c r="E268" s="15" t="str">
        <x:v>Medium</x:v>
      </x:c>
      <x:c r="F268" s="15" t="n">
        <x:v>994</x:v>
      </x:c>
      <x:c r="G268" s="15" t="str">
        <x:v>Rotting Oranges</x:v>
      </x:c>
      <x:c r="H268" s="15" t="str">
        <x:v>https://leetcode.com/problems/rotting-oranges/</x:v>
      </x:c>
      <x:c r="I268" s="15" t="str">
        <x:v>Not Started</x:v>
      </x:c>
      <x:c r="J268" s="39"/>
      <x:c r="K268" s="39"/>
      <x:c r="L268" s="39"/>
      <x:c r="M268" s="15" t="str"/>
      <x:c r="N268" s="15" t="str"/>
      <x:c r="O268" s="15" t="str"/>
      <x:c r="P268" s="15" t="str"/>
      <x:c r="Q268" s="15" t="str">
        <x:v>New Solve</x:v>
      </x:c>
    </x:row>
    <x:row r="269">
      <x:c r="A269" s="15" t="n">
        <x:v>268</x:v>
      </x:c>
      <x:c r="B269" s="39" t="n">
        <x:v>46374</x:v>
      </x:c>
      <x:c r="C269" s="15" t="str">
        <x:v>Phase 2: 2/day</x:v>
      </x:c>
      <x:c r="D269" s="15" t="str">
        <x:v>Graphs</x:v>
      </x:c>
      <x:c r="E269" s="15" t="str">
        <x:v>Medium</x:v>
      </x:c>
      <x:c r="F269" s="15" t="n">
        <x:v>130</x:v>
      </x:c>
      <x:c r="G269" s="15" t="str">
        <x:v>Surrounded Regions</x:v>
      </x:c>
      <x:c r="H269" s="15" t="str">
        <x:v>https://leetcode.com/problems/surrounded-regions/</x:v>
      </x:c>
      <x:c r="I269" s="15" t="str">
        <x:v>Not Started</x:v>
      </x:c>
      <x:c r="J269" s="39"/>
      <x:c r="K269" s="39"/>
      <x:c r="L269" s="39"/>
      <x:c r="M269" s="15" t="str"/>
      <x:c r="N269" s="15" t="str"/>
      <x:c r="O269" s="15" t="str"/>
      <x:c r="P269" s="15" t="str"/>
      <x:c r="Q269" s="15" t="str">
        <x:v>New Solve</x:v>
      </x:c>
    </x:row>
    <x:row r="270">
      <x:c r="A270" s="15" t="n">
        <x:v>269</x:v>
      </x:c>
      <x:c r="B270" s="39" t="n">
        <x:v>46374</x:v>
      </x:c>
      <x:c r="C270" s="15" t="str">
        <x:v>Phase 2: 2/day</x:v>
      </x:c>
      <x:c r="D270" s="15" t="str">
        <x:v>Graphs</x:v>
      </x:c>
      <x:c r="E270" s="15" t="str">
        <x:v>Medium</x:v>
      </x:c>
      <x:c r="F270" s="15" t="n">
        <x:v>417</x:v>
      </x:c>
      <x:c r="G270" s="15" t="str">
        <x:v>Pacific Atlantic Water Flow</x:v>
      </x:c>
      <x:c r="H270" s="15" t="str">
        <x:v>https://leetcode.com/problems/pacific-atlantic-water-flow/</x:v>
      </x:c>
      <x:c r="I270" s="15" t="str">
        <x:v>Not Started</x:v>
      </x:c>
      <x:c r="J270" s="39"/>
      <x:c r="K270" s="39"/>
      <x:c r="L270" s="39"/>
      <x:c r="M270" s="15" t="str"/>
      <x:c r="N270" s="15" t="str"/>
      <x:c r="O270" s="15" t="str"/>
      <x:c r="P270" s="15" t="str"/>
      <x:c r="Q270" s="15" t="str">
        <x:v>New Solve</x:v>
      </x:c>
    </x:row>
    <x:row r="271">
      <x:c r="A271" s="15" t="n">
        <x:v>270</x:v>
      </x:c>
      <x:c r="B271" s="39" t="n">
        <x:v>46375</x:v>
      </x:c>
      <x:c r="C271" s="15" t="str">
        <x:v>Phase 2: 2/day</x:v>
      </x:c>
      <x:c r="D271" s="15" t="str">
        <x:v>Graphs</x:v>
      </x:c>
      <x:c r="E271" s="15" t="str">
        <x:v>Medium</x:v>
      </x:c>
      <x:c r="F271" s="15" t="n">
        <x:v>542</x:v>
      </x:c>
      <x:c r="G271" s="15" t="str">
        <x:v>01 Matrix</x:v>
      </x:c>
      <x:c r="H271" s="15" t="str">
        <x:v>https://leetcode.com/problems/01-matrix/</x:v>
      </x:c>
      <x:c r="I271" s="15" t="str">
        <x:v>Not Started</x:v>
      </x:c>
      <x:c r="J271" s="39"/>
      <x:c r="K271" s="39"/>
      <x:c r="L271" s="39"/>
      <x:c r="M271" s="15" t="str"/>
      <x:c r="N271" s="15" t="str"/>
      <x:c r="O271" s="15" t="str"/>
      <x:c r="P271" s="15" t="str"/>
      <x:c r="Q271" s="15" t="str">
        <x:v>New Solve</x:v>
      </x:c>
    </x:row>
    <x:row r="272">
      <x:c r="A272" s="15" t="n">
        <x:v>271</x:v>
      </x:c>
      <x:c r="B272" s="39" t="n">
        <x:v>46375</x:v>
      </x:c>
      <x:c r="C272" s="15" t="str">
        <x:v>Phase 2: 2/day</x:v>
      </x:c>
      <x:c r="D272" s="15" t="str">
        <x:v>Graphs</x:v>
      </x:c>
      <x:c r="E272" s="15" t="str">
        <x:v>Easy</x:v>
      </x:c>
      <x:c r="F272" s="15" t="n">
        <x:v>733</x:v>
      </x:c>
      <x:c r="G272" s="15" t="str">
        <x:v>Flood Fill</x:v>
      </x:c>
      <x:c r="H272" s="15" t="str">
        <x:v>https://leetcode.com/problems/flood-fill/</x:v>
      </x:c>
      <x:c r="I272" s="15" t="str">
        <x:v>Not Started</x:v>
      </x:c>
      <x:c r="J272" s="39"/>
      <x:c r="K272" s="39"/>
      <x:c r="L272" s="39"/>
      <x:c r="M272" s="15" t="str"/>
      <x:c r="N272" s="15" t="str"/>
      <x:c r="O272" s="15" t="str"/>
      <x:c r="P272" s="15" t="str"/>
      <x:c r="Q272" s="15" t="str">
        <x:v>New Solve</x:v>
      </x:c>
    </x:row>
    <x:row r="273">
      <x:c r="A273" s="15" t="n">
        <x:v>272</x:v>
      </x:c>
      <x:c r="B273" s="39" t="n">
        <x:v>46376</x:v>
      </x:c>
      <x:c r="C273" s="15" t="str">
        <x:v>Phase 2: 2/day</x:v>
      </x:c>
      <x:c r="D273" s="15" t="str">
        <x:v>Graphs</x:v>
      </x:c>
      <x:c r="E273" s="15" t="str">
        <x:v>Medium</x:v>
      </x:c>
      <x:c r="F273" s="15" t="n">
        <x:v>797</x:v>
      </x:c>
      <x:c r="G273" s="15" t="str">
        <x:v>All Paths From Source to Target</x:v>
      </x:c>
      <x:c r="H273" s="15" t="str">
        <x:v>https://leetcode.com/problems/all-paths-from-source-to-target/</x:v>
      </x:c>
      <x:c r="I273" s="15" t="str">
        <x:v>Not Started</x:v>
      </x:c>
      <x:c r="J273" s="39"/>
      <x:c r="K273" s="39"/>
      <x:c r="L273" s="39"/>
      <x:c r="M273" s="15" t="str"/>
      <x:c r="N273" s="15" t="str"/>
      <x:c r="O273" s="15" t="str"/>
      <x:c r="P273" s="15" t="str"/>
      <x:c r="Q273" s="15" t="str">
        <x:v>New Solve</x:v>
      </x:c>
    </x:row>
    <x:row r="274">
      <x:c r="A274" s="15" t="n">
        <x:v>273</x:v>
      </x:c>
      <x:c r="B274" s="39" t="n">
        <x:v>46376</x:v>
      </x:c>
      <x:c r="C274" s="15" t="str">
        <x:v>Phase 2: 2/day</x:v>
      </x:c>
      <x:c r="D274" s="15" t="str">
        <x:v>Graphs</x:v>
      </x:c>
      <x:c r="E274" s="15" t="str">
        <x:v>Medium</x:v>
      </x:c>
      <x:c r="F274" s="15" t="n">
        <x:v>841</x:v>
      </x:c>
      <x:c r="G274" s="15" t="str">
        <x:v>Keys and Rooms</x:v>
      </x:c>
      <x:c r="H274" s="15" t="str">
        <x:v>https://leetcode.com/problems/keys-and-rooms/</x:v>
      </x:c>
      <x:c r="I274" s="15" t="str">
        <x:v>Not Started</x:v>
      </x:c>
      <x:c r="J274" s="39"/>
      <x:c r="K274" s="39"/>
      <x:c r="L274" s="39"/>
      <x:c r="M274" s="15" t="str"/>
      <x:c r="N274" s="15" t="str"/>
      <x:c r="O274" s="15" t="str"/>
      <x:c r="P274" s="15" t="str"/>
      <x:c r="Q274" s="15" t="str">
        <x:v>New Solve</x:v>
      </x:c>
    </x:row>
    <x:row r="275">
      <x:c r="A275" s="15" t="n">
        <x:v>274</x:v>
      </x:c>
      <x:c r="B275" s="39" t="n">
        <x:v>46377</x:v>
      </x:c>
      <x:c r="C275" s="15" t="str">
        <x:v>Phase 2: 2/day</x:v>
      </x:c>
      <x:c r="D275" s="15" t="str">
        <x:v>Graphs</x:v>
      </x:c>
      <x:c r="E275" s="15" t="str">
        <x:v>Medium</x:v>
      </x:c>
      <x:c r="F275" s="15" t="n">
        <x:v>785</x:v>
      </x:c>
      <x:c r="G275" s="15" t="str">
        <x:v>Is Graph Bipartite?</x:v>
      </x:c>
      <x:c r="H275" s="15" t="str">
        <x:v>https://leetcode.com/problems/is-graph-bipartite/</x:v>
      </x:c>
      <x:c r="I275" s="15" t="str">
        <x:v>Not Started</x:v>
      </x:c>
      <x:c r="J275" s="39"/>
      <x:c r="K275" s="39"/>
      <x:c r="L275" s="39"/>
      <x:c r="M275" s="15" t="str"/>
      <x:c r="N275" s="15" t="str"/>
      <x:c r="O275" s="15" t="str"/>
      <x:c r="P275" s="15" t="str"/>
      <x:c r="Q275" s="15" t="str">
        <x:v>New Solve</x:v>
      </x:c>
    </x:row>
    <x:row r="276">
      <x:c r="A276" s="15" t="n">
        <x:v>275</x:v>
      </x:c>
      <x:c r="B276" s="39" t="n">
        <x:v>46377</x:v>
      </x:c>
      <x:c r="C276" s="15" t="str">
        <x:v>Phase 2: 2/day</x:v>
      </x:c>
      <x:c r="D276" s="15" t="str">
        <x:v>Graphs</x:v>
      </x:c>
      <x:c r="E276" s="15" t="str">
        <x:v>Medium</x:v>
      </x:c>
      <x:c r="F276" s="15" t="n">
        <x:v>802</x:v>
      </x:c>
      <x:c r="G276" s="15" t="str">
        <x:v>Find Eventual Safe States</x:v>
      </x:c>
      <x:c r="H276" s="15" t="str">
        <x:v>https://leetcode.com/problems/find-eventual-safe-states/</x:v>
      </x:c>
      <x:c r="I276" s="15" t="str">
        <x:v>Not Started</x:v>
      </x:c>
      <x:c r="J276" s="39"/>
      <x:c r="K276" s="39"/>
      <x:c r="L276" s="39"/>
      <x:c r="M276" s="15" t="str"/>
      <x:c r="N276" s="15" t="str"/>
      <x:c r="O276" s="15" t="str"/>
      <x:c r="P276" s="15" t="str"/>
      <x:c r="Q276" s="15" t="str">
        <x:v>New Solve</x:v>
      </x:c>
    </x:row>
    <x:row r="277">
      <x:c r="A277" s="15" t="n">
        <x:v>276</x:v>
      </x:c>
      <x:c r="B277" s="39" t="n">
        <x:v>46378</x:v>
      </x:c>
      <x:c r="C277" s="15" t="str">
        <x:v>Phase 2: 2/day</x:v>
      </x:c>
      <x:c r="D277" s="15" t="str">
        <x:v>Graphs</x:v>
      </x:c>
      <x:c r="E277" s="15" t="str">
        <x:v>Medium</x:v>
      </x:c>
      <x:c r="F277" s="15" t="n">
        <x:v>886</x:v>
      </x:c>
      <x:c r="G277" s="15" t="str">
        <x:v>Possible Bipartition</x:v>
      </x:c>
      <x:c r="H277" s="15" t="str">
        <x:v>https://leetcode.com/problems/possible-bipartition/</x:v>
      </x:c>
      <x:c r="I277" s="15" t="str">
        <x:v>Not Started</x:v>
      </x:c>
      <x:c r="J277" s="39"/>
      <x:c r="K277" s="39"/>
      <x:c r="L277" s="39"/>
      <x:c r="M277" s="15" t="str"/>
      <x:c r="N277" s="15" t="str"/>
      <x:c r="O277" s="15" t="str"/>
      <x:c r="P277" s="15" t="str"/>
      <x:c r="Q277" s="15" t="str">
        <x:v>New Solve</x:v>
      </x:c>
    </x:row>
    <x:row r="278">
      <x:c r="A278" s="15" t="n">
        <x:v>277</x:v>
      </x:c>
      <x:c r="B278" s="39" t="n">
        <x:v>46378</x:v>
      </x:c>
      <x:c r="C278" s="15" t="str">
        <x:v>Phase 2: 2/day</x:v>
      </x:c>
      <x:c r="D278" s="15" t="str">
        <x:v>Graphs</x:v>
      </x:c>
      <x:c r="E278" s="15" t="str">
        <x:v>Medium</x:v>
      </x:c>
      <x:c r="F278" s="15" t="n">
        <x:v>990</x:v>
      </x:c>
      <x:c r="G278" s="15" t="str">
        <x:v>Satisfiability of Equality Equations</x:v>
      </x:c>
      <x:c r="H278" s="15" t="str">
        <x:v>https://leetcode.com/problems/satisfiability-of-equality-equations/</x:v>
      </x:c>
      <x:c r="I278" s="15" t="str">
        <x:v>Not Started</x:v>
      </x:c>
      <x:c r="J278" s="39"/>
      <x:c r="K278" s="39"/>
      <x:c r="L278" s="39"/>
      <x:c r="M278" s="15" t="str"/>
      <x:c r="N278" s="15" t="str"/>
      <x:c r="O278" s="15" t="str"/>
      <x:c r="P278" s="15" t="str"/>
      <x:c r="Q278" s="15" t="str">
        <x:v>New Solve</x:v>
      </x:c>
    </x:row>
    <x:row r="279">
      <x:c r="A279" s="15" t="n">
        <x:v>278</x:v>
      </x:c>
      <x:c r="B279" s="39" t="n">
        <x:v>46379</x:v>
      </x:c>
      <x:c r="C279" s="15" t="str">
        <x:v>Phase 2: 2/day</x:v>
      </x:c>
      <x:c r="D279" s="15" t="str">
        <x:v>Graphs</x:v>
      </x:c>
      <x:c r="E279" s="15" t="str">
        <x:v>Medium</x:v>
      </x:c>
      <x:c r="F279" s="15" t="n">
        <x:v>1091</x:v>
      </x:c>
      <x:c r="G279" s="15" t="str">
        <x:v>Shortest Path in Binary Matrix</x:v>
      </x:c>
      <x:c r="H279" s="15" t="str">
        <x:v>https://leetcode.com/problems/shortest-path-in-binary-matrix/</x:v>
      </x:c>
      <x:c r="I279" s="15" t="str">
        <x:v>Not Started</x:v>
      </x:c>
      <x:c r="J279" s="39"/>
      <x:c r="K279" s="39"/>
      <x:c r="L279" s="39"/>
      <x:c r="M279" s="15" t="str"/>
      <x:c r="N279" s="15" t="str"/>
      <x:c r="O279" s="15" t="str"/>
      <x:c r="P279" s="15" t="str"/>
      <x:c r="Q279" s="15" t="str">
        <x:v>New Solve</x:v>
      </x:c>
    </x:row>
    <x:row r="280">
      <x:c r="A280" s="15" t="n">
        <x:v>279</x:v>
      </x:c>
      <x:c r="B280" s="39" t="n">
        <x:v>46379</x:v>
      </x:c>
      <x:c r="C280" s="15" t="str">
        <x:v>Phase 2: 2/day</x:v>
      </x:c>
      <x:c r="D280" s="15" t="str">
        <x:v>Graphs</x:v>
      </x:c>
      <x:c r="E280" s="15" t="str">
        <x:v>Medium</x:v>
      </x:c>
      <x:c r="F280" s="15" t="n">
        <x:v>1162</x:v>
      </x:c>
      <x:c r="G280" s="15" t="str">
        <x:v>As Far from Land as Possible</x:v>
      </x:c>
      <x:c r="H280" s="15" t="str">
        <x:v>https://leetcode.com/problems/as-far-from-land-as-possible/</x:v>
      </x:c>
      <x:c r="I280" s="15" t="str">
        <x:v>Not Started</x:v>
      </x:c>
      <x:c r="J280" s="39"/>
      <x:c r="K280" s="39"/>
      <x:c r="L280" s="39"/>
      <x:c r="M280" s="15" t="str"/>
      <x:c r="N280" s="15" t="str"/>
      <x:c r="O280" s="15" t="str"/>
      <x:c r="P280" s="15" t="str"/>
      <x:c r="Q280" s="15" t="str">
        <x:v>New Solve</x:v>
      </x:c>
    </x:row>
    <x:row r="281">
      <x:c r="A281" s="15" t="n">
        <x:v>280</x:v>
      </x:c>
      <x:c r="B281" s="39" t="n">
        <x:v>46380</x:v>
      </x:c>
      <x:c r="C281" s="15" t="str">
        <x:v>Phase 2: 2/day</x:v>
      </x:c>
      <x:c r="D281" s="15" t="str">
        <x:v>Graphs</x:v>
      </x:c>
      <x:c r="E281" s="15" t="str">
        <x:v>Medium</x:v>
      </x:c>
      <x:c r="F281" s="15" t="n">
        <x:v>1254</x:v>
      </x:c>
      <x:c r="G281" s="15" t="str">
        <x:v>Number of Closed Islands</x:v>
      </x:c>
      <x:c r="H281" s="15" t="str">
        <x:v>https://leetcode.com/problems/number-of-closed-islands/</x:v>
      </x:c>
      <x:c r="I281" s="15" t="str">
        <x:v>Not Started</x:v>
      </x:c>
      <x:c r="J281" s="39"/>
      <x:c r="K281" s="39"/>
      <x:c r="L281" s="39"/>
      <x:c r="M281" s="15" t="str"/>
      <x:c r="N281" s="15" t="str"/>
      <x:c r="O281" s="15" t="str"/>
      <x:c r="P281" s="15" t="str"/>
      <x:c r="Q281" s="15" t="str">
        <x:v>New Solve</x:v>
      </x:c>
    </x:row>
    <x:row r="282">
      <x:c r="A282" s="15" t="n">
        <x:v>281</x:v>
      </x:c>
      <x:c r="B282" s="39" t="n">
        <x:v>46380</x:v>
      </x:c>
      <x:c r="C282" s="15" t="str">
        <x:v>Phase 2: 2/day</x:v>
      </x:c>
      <x:c r="D282" s="15" t="str">
        <x:v>Graphs</x:v>
      </x:c>
      <x:c r="E282" s="15" t="str">
        <x:v>Hard</x:v>
      </x:c>
      <x:c r="F282" s="15" t="n">
        <x:v>1293</x:v>
      </x:c>
      <x:c r="G282" s="15" t="str">
        <x:v>Shortest Path in a Grid with Obstacles Elimination</x:v>
      </x:c>
      <x:c r="H282" s="15" t="str">
        <x:v>https://leetcode.com/problems/shortest-path-in-a-grid-with-obstacles-elimination/</x:v>
      </x:c>
      <x:c r="I282" s="15" t="str">
        <x:v>Not Started</x:v>
      </x:c>
      <x:c r="J282" s="39"/>
      <x:c r="K282" s="39"/>
      <x:c r="L282" s="39"/>
      <x:c r="M282" s="15" t="str"/>
      <x:c r="N282" s="15" t="str"/>
      <x:c r="O282" s="15" t="str"/>
      <x:c r="P282" s="15" t="str"/>
      <x:c r="Q282" s="15" t="str">
        <x:v>New Solve</x:v>
      </x:c>
    </x:row>
    <x:row r="283">
      <x:c r="A283" s="15" t="n">
        <x:v>282</x:v>
      </x:c>
      <x:c r="B283" s="39" t="n">
        <x:v>46381</x:v>
      </x:c>
      <x:c r="C283" s="15" t="str">
        <x:v>Phase 2: 2/day</x:v>
      </x:c>
      <x:c r="D283" s="15" t="str">
        <x:v>Graphs</x:v>
      </x:c>
      <x:c r="E283" s="15" t="str">
        <x:v>Medium</x:v>
      </x:c>
      <x:c r="F283" s="15" t="n">
        <x:v>1319</x:v>
      </x:c>
      <x:c r="G283" s="15" t="str">
        <x:v>Number of Operations to Make Network Connected</x:v>
      </x:c>
      <x:c r="H283" s="15" t="str">
        <x:v>https://leetcode.com/problems/number-of-operations-to-make-network-connected/</x:v>
      </x:c>
      <x:c r="I283" s="15" t="str">
        <x:v>Not Started</x:v>
      </x:c>
      <x:c r="J283" s="39"/>
      <x:c r="K283" s="39"/>
      <x:c r="L283" s="39"/>
      <x:c r="M283" s="15" t="str"/>
      <x:c r="N283" s="15" t="str"/>
      <x:c r="O283" s="15" t="str"/>
      <x:c r="P283" s="15" t="str"/>
      <x:c r="Q283" s="15" t="str">
        <x:v>New Solve</x:v>
      </x:c>
    </x:row>
    <x:row r="284">
      <x:c r="A284" s="15" t="n">
        <x:v>283</x:v>
      </x:c>
      <x:c r="B284" s="39" t="n">
        <x:v>46381</x:v>
      </x:c>
      <x:c r="C284" s="15" t="str">
        <x:v>Phase 2: 2/day</x:v>
      </x:c>
      <x:c r="D284" s="15" t="str">
        <x:v>Graphs</x:v>
      </x:c>
      <x:c r="E284" s="15" t="str">
        <x:v>Medium</x:v>
      </x:c>
      <x:c r="F284" s="15" t="n">
        <x:v>1466</x:v>
      </x:c>
      <x:c r="G284" s="15" t="str">
        <x:v>Reorder Routes to Make All Paths Lead to the City Zero</x:v>
      </x:c>
      <x:c r="H284" s="15" t="str">
        <x:v>https://leetcode.com/problems/reorder-routes-to-make-all-paths-lead-to-the-city-zero/</x:v>
      </x:c>
      <x:c r="I284" s="15" t="str">
        <x:v>Not Started</x:v>
      </x:c>
      <x:c r="J284" s="39"/>
      <x:c r="K284" s="39"/>
      <x:c r="L284" s="39"/>
      <x:c r="M284" s="15" t="str"/>
      <x:c r="N284" s="15" t="str"/>
      <x:c r="O284" s="15" t="str"/>
      <x:c r="P284" s="15" t="str"/>
      <x:c r="Q284" s="15" t="str">
        <x:v>New Solve</x:v>
      </x:c>
    </x:row>
    <x:row r="285">
      <x:c r="A285" s="15" t="n">
        <x:v>284</x:v>
      </x:c>
      <x:c r="B285" s="39" t="n">
        <x:v>46382</x:v>
      </x:c>
      <x:c r="C285" s="15" t="str">
        <x:v>Phase 2: 2/day</x:v>
      </x:c>
      <x:c r="D285" s="15" t="str">
        <x:v>Graphs</x:v>
      </x:c>
      <x:c r="E285" s="15" t="str">
        <x:v>Medium</x:v>
      </x:c>
      <x:c r="F285" s="15" t="n">
        <x:v>1584</x:v>
      </x:c>
      <x:c r="G285" s="15" t="str">
        <x:v>Min Cost to Connect All Points</x:v>
      </x:c>
      <x:c r="H285" s="15" t="str">
        <x:v>https://leetcode.com/problems/min-cost-to-connect-all-points/</x:v>
      </x:c>
      <x:c r="I285" s="15" t="str">
        <x:v>Not Started</x:v>
      </x:c>
      <x:c r="J285" s="39"/>
      <x:c r="K285" s="39"/>
      <x:c r="L285" s="39"/>
      <x:c r="M285" s="15" t="str"/>
      <x:c r="N285" s="15" t="str"/>
      <x:c r="O285" s="15" t="str"/>
      <x:c r="P285" s="15" t="str"/>
      <x:c r="Q285" s="15" t="str">
        <x:v>New Solve</x:v>
      </x:c>
    </x:row>
    <x:row r="286">
      <x:c r="A286" s="15" t="n">
        <x:v>285</x:v>
      </x:c>
      <x:c r="B286" s="39" t="n">
        <x:v>46382</x:v>
      </x:c>
      <x:c r="C286" s="15" t="str">
        <x:v>Phase 2: 2/day</x:v>
      </x:c>
      <x:c r="D286" s="15" t="str">
        <x:v>Graphs</x:v>
      </x:c>
      <x:c r="E286" s="15" t="str">
        <x:v>Medium</x:v>
      </x:c>
      <x:c r="F286" s="15" t="n">
        <x:v>1631</x:v>
      </x:c>
      <x:c r="G286" s="15" t="str">
        <x:v>Path With Minimum Effort</x:v>
      </x:c>
      <x:c r="H286" s="15" t="str">
        <x:v>https://leetcode.com/problems/path-with-minimum-effort/</x:v>
      </x:c>
      <x:c r="I286" s="15" t="str">
        <x:v>Not Started</x:v>
      </x:c>
      <x:c r="J286" s="39"/>
      <x:c r="K286" s="39"/>
      <x:c r="L286" s="39"/>
      <x:c r="M286" s="15" t="str"/>
      <x:c r="N286" s="15" t="str"/>
      <x:c r="O286" s="15" t="str"/>
      <x:c r="P286" s="15" t="str"/>
      <x:c r="Q286" s="15" t="str">
        <x:v>New Solve</x:v>
      </x:c>
    </x:row>
    <x:row r="287">
      <x:c r="A287" s="15" t="n">
        <x:v>286</x:v>
      </x:c>
      <x:c r="B287" s="39" t="n">
        <x:v>46383</x:v>
      </x:c>
      <x:c r="C287" s="15" t="str">
        <x:v>Phase 2: 2/day</x:v>
      </x:c>
      <x:c r="D287" s="15" t="str">
        <x:v>Graphs</x:v>
      </x:c>
      <x:c r="E287" s="15" t="str">
        <x:v>Easy</x:v>
      </x:c>
      <x:c r="F287" s="15" t="n">
        <x:v>1971</x:v>
      </x:c>
      <x:c r="G287" s="15" t="str">
        <x:v>Find if Path Exists in Graph</x:v>
      </x:c>
      <x:c r="H287" s="15" t="str">
        <x:v>https://leetcode.com/problems/find-if-path-exists-in-graph/</x:v>
      </x:c>
      <x:c r="I287" s="15" t="str">
        <x:v>Not Started</x:v>
      </x:c>
      <x:c r="J287" s="39"/>
      <x:c r="K287" s="39"/>
      <x:c r="L287" s="39"/>
      <x:c r="M287" s="15" t="str"/>
      <x:c r="N287" s="15" t="str"/>
      <x:c r="O287" s="15" t="str"/>
      <x:c r="P287" s="15" t="str"/>
      <x:c r="Q287" s="15" t="str">
        <x:v>New Solve</x:v>
      </x:c>
    </x:row>
    <x:row r="288">
      <x:c r="A288" s="15" t="n">
        <x:v>287</x:v>
      </x:c>
      <x:c r="B288" s="39" t="n">
        <x:v>46383</x:v>
      </x:c>
      <x:c r="C288" s="15" t="str">
        <x:v>Phase 2: 2/day</x:v>
      </x:c>
      <x:c r="D288" s="15" t="str">
        <x:v>Graphs</x:v>
      </x:c>
      <x:c r="E288" s="15" t="str">
        <x:v>Easy</x:v>
      </x:c>
      <x:c r="F288" s="15" t="n">
        <x:v>1791</x:v>
      </x:c>
      <x:c r="G288" s="15" t="str">
        <x:v>Find Center of Star Graph</x:v>
      </x:c>
      <x:c r="H288" s="15" t="str">
        <x:v>https://leetcode.com/problems/find-center-of-star-graph/</x:v>
      </x:c>
      <x:c r="I288" s="15" t="str">
        <x:v>Not Started</x:v>
      </x:c>
      <x:c r="J288" s="39"/>
      <x:c r="K288" s="39"/>
      <x:c r="L288" s="39"/>
      <x:c r="M288" s="15" t="str"/>
      <x:c r="N288" s="15" t="str"/>
      <x:c r="O288" s="15" t="str"/>
      <x:c r="P288" s="15" t="str"/>
      <x:c r="Q288" s="15" t="str">
        <x:v>New Solve</x:v>
      </x:c>
    </x:row>
    <x:row r="289">
      <x:c r="A289" s="15" t="n">
        <x:v>288</x:v>
      </x:c>
      <x:c r="B289" s="39" t="n">
        <x:v>46384</x:v>
      </x:c>
      <x:c r="C289" s="15" t="str">
        <x:v>Phase 2: 2/day</x:v>
      </x:c>
      <x:c r="D289" s="15" t="str">
        <x:v>Graphs</x:v>
      </x:c>
      <x:c r="E289" s="15" t="str">
        <x:v>Easy</x:v>
      </x:c>
      <x:c r="F289" s="15" t="n">
        <x:v>997</x:v>
      </x:c>
      <x:c r="G289" s="15" t="str">
        <x:v>Find the Town Judge</x:v>
      </x:c>
      <x:c r="H289" s="15" t="str">
        <x:v>https://leetcode.com/problems/find-the-town-judge/</x:v>
      </x:c>
      <x:c r="I289" s="15" t="str">
        <x:v>Not Started</x:v>
      </x:c>
      <x:c r="J289" s="39"/>
      <x:c r="K289" s="39"/>
      <x:c r="L289" s="39"/>
      <x:c r="M289" s="15" t="str"/>
      <x:c r="N289" s="15" t="str"/>
      <x:c r="O289" s="15" t="str"/>
      <x:c r="P289" s="15" t="str"/>
      <x:c r="Q289" s="15" t="str">
        <x:v>New Solve</x:v>
      </x:c>
    </x:row>
    <x:row r="290">
      <x:c r="A290" s="15" t="n">
        <x:v>289</x:v>
      </x:c>
      <x:c r="B290" s="39" t="n">
        <x:v>46384</x:v>
      </x:c>
      <x:c r="C290" s="15" t="str">
        <x:v>Phase 2: 2/day</x:v>
      </x:c>
      <x:c r="D290" s="15" t="str">
        <x:v>Graphs</x:v>
      </x:c>
      <x:c r="E290" s="15" t="str">
        <x:v>Medium</x:v>
      </x:c>
      <x:c r="F290" s="15" t="n">
        <x:v>399</x:v>
      </x:c>
      <x:c r="G290" s="15" t="str">
        <x:v>Evaluate Division</x:v>
      </x:c>
      <x:c r="H290" s="15" t="str">
        <x:v>https://leetcode.com/problems/evaluate-division/</x:v>
      </x:c>
      <x:c r="I290" s="15" t="str">
        <x:v>Not Started</x:v>
      </x:c>
      <x:c r="J290" s="39"/>
      <x:c r="K290" s="39"/>
      <x:c r="L290" s="39"/>
      <x:c r="M290" s="15" t="str"/>
      <x:c r="N290" s="15" t="str"/>
      <x:c r="O290" s="15" t="str"/>
      <x:c r="P290" s="15" t="str"/>
      <x:c r="Q290" s="15" t="str">
        <x:v>New Solve</x:v>
      </x:c>
    </x:row>
    <x:row r="291">
      <x:c r="A291" s="15" t="n">
        <x:v>290</x:v>
      </x:c>
      <x:c r="B291" s="39" t="n">
        <x:v>46385</x:v>
      </x:c>
      <x:c r="C291" s="15" t="str">
        <x:v>Phase 3: 3/day</x:v>
      </x:c>
      <x:c r="D291" s="15" t="str">
        <x:v>Graphs</x:v>
      </x:c>
      <x:c r="E291" s="15" t="str">
        <x:v>Hard</x:v>
      </x:c>
      <x:c r="F291" s="15" t="n">
        <x:v>332</x:v>
      </x:c>
      <x:c r="G291" s="15" t="str">
        <x:v>Reconstruct Itinerary</x:v>
      </x:c>
      <x:c r="H291" s="15" t="str">
        <x:v>https://leetcode.com/problems/reconstruct-itinerary/</x:v>
      </x:c>
      <x:c r="I291" s="15" t="str">
        <x:v>Not Started</x:v>
      </x:c>
      <x:c r="J291" s="39"/>
      <x:c r="K291" s="39"/>
      <x:c r="L291" s="39"/>
      <x:c r="M291" s="15" t="str"/>
      <x:c r="N291" s="15" t="str"/>
      <x:c r="O291" s="15" t="str"/>
      <x:c r="P291" s="15" t="str"/>
      <x:c r="Q291" s="15" t="str">
        <x:v>New Solve</x:v>
      </x:c>
    </x:row>
    <x:row r="292">
      <x:c r="A292" s="15" t="n">
        <x:v>291</x:v>
      </x:c>
      <x:c r="B292" s="39" t="n">
        <x:v>46385</x:v>
      </x:c>
      <x:c r="C292" s="15" t="str">
        <x:v>Phase 3: 3/day</x:v>
      </x:c>
      <x:c r="D292" s="15" t="str">
        <x:v>Graphs</x:v>
      </x:c>
      <x:c r="E292" s="15" t="str">
        <x:v>Hard</x:v>
      </x:c>
      <x:c r="F292" s="15" t="n">
        <x:v>127</x:v>
      </x:c>
      <x:c r="G292" s="15" t="str">
        <x:v>Word Ladder</x:v>
      </x:c>
      <x:c r="H292" s="15" t="str">
        <x:v>https://leetcode.com/problems/word-ladder/</x:v>
      </x:c>
      <x:c r="I292" s="15" t="str">
        <x:v>Not Started</x:v>
      </x:c>
      <x:c r="J292" s="39"/>
      <x:c r="K292" s="39"/>
      <x:c r="L292" s="39"/>
      <x:c r="M292" s="15" t="str"/>
      <x:c r="N292" s="15" t="str"/>
      <x:c r="O292" s="15" t="str"/>
      <x:c r="P292" s="15" t="str"/>
      <x:c r="Q292" s="15" t="str">
        <x:v>New Solve</x:v>
      </x:c>
    </x:row>
    <x:row r="293">
      <x:c r="A293" s="15" t="n">
        <x:v>292</x:v>
      </x:c>
      <x:c r="B293" s="39" t="n">
        <x:v>46385</x:v>
      </x:c>
      <x:c r="C293" s="15" t="str">
        <x:v>Phase 3: 3/day</x:v>
      </x:c>
      <x:c r="D293" s="15" t="str">
        <x:v>Graphs</x:v>
      </x:c>
      <x:c r="E293" s="15" t="str">
        <x:v>Hard</x:v>
      </x:c>
      <x:c r="F293" s="15" t="n">
        <x:v>126</x:v>
      </x:c>
      <x:c r="G293" s="15" t="str">
        <x:v>Word Ladder II</x:v>
      </x:c>
      <x:c r="H293" s="15" t="str">
        <x:v>https://leetcode.com/problems/word-ladder-ii/</x:v>
      </x:c>
      <x:c r="I293" s="15" t="str">
        <x:v>Not Started</x:v>
      </x:c>
      <x:c r="J293" s="39"/>
      <x:c r="K293" s="39"/>
      <x:c r="L293" s="39"/>
      <x:c r="M293" s="15" t="str"/>
      <x:c r="N293" s="15" t="str"/>
      <x:c r="O293" s="15" t="str"/>
      <x:c r="P293" s="15" t="str"/>
      <x:c r="Q293" s="15" t="str">
        <x:v>New Solve</x:v>
      </x:c>
    </x:row>
    <x:row r="294">
      <x:c r="A294" s="15" t="n">
        <x:v>293</x:v>
      </x:c>
      <x:c r="B294" s="39" t="n">
        <x:v>46386</x:v>
      </x:c>
      <x:c r="C294" s="15" t="str">
        <x:v>Phase 3: 3/day</x:v>
      </x:c>
      <x:c r="D294" s="15" t="str">
        <x:v>Graphs</x:v>
      </x:c>
      <x:c r="E294" s="15" t="str">
        <x:v>Hard</x:v>
      </x:c>
      <x:c r="F294" s="15" t="n">
        <x:v>269</x:v>
      </x:c>
      <x:c r="G294" s="15" t="str">
        <x:v>Alien Dictionary</x:v>
      </x:c>
      <x:c r="H294" s="15" t="str">
        <x:v>https://leetcode.com/problems/alien-dictionary/</x:v>
      </x:c>
      <x:c r="I294" s="15" t="str">
        <x:v>Not Started</x:v>
      </x:c>
      <x:c r="J294" s="39"/>
      <x:c r="K294" s="39"/>
      <x:c r="L294" s="39"/>
      <x:c r="M294" s="15" t="str"/>
      <x:c r="N294" s="15" t="str"/>
      <x:c r="O294" s="15" t="str"/>
      <x:c r="P294" s="15" t="str"/>
      <x:c r="Q294" s="15" t="str">
        <x:v>New Solve</x:v>
      </x:c>
    </x:row>
    <x:row r="295">
      <x:c r="A295" s="15" t="n">
        <x:v>294</x:v>
      </x:c>
      <x:c r="B295" s="39" t="n">
        <x:v>46386</x:v>
      </x:c>
      <x:c r="C295" s="15" t="str">
        <x:v>Phase 3: 3/day</x:v>
      </x:c>
      <x:c r="D295" s="15" t="str">
        <x:v>Graphs</x:v>
      </x:c>
      <x:c r="E295" s="15" t="str">
        <x:v>Hard</x:v>
      </x:c>
      <x:c r="F295" s="15" t="n">
        <x:v>1192</x:v>
      </x:c>
      <x:c r="G295" s="15" t="str">
        <x:v>Critical Connections in a Network</x:v>
      </x:c>
      <x:c r="H295" s="15" t="str">
        <x:v>https://leetcode.com/problems/critical-connections-in-a-network/</x:v>
      </x:c>
      <x:c r="I295" s="15" t="str">
        <x:v>Not Started</x:v>
      </x:c>
      <x:c r="J295" s="39"/>
      <x:c r="K295" s="39"/>
      <x:c r="L295" s="39"/>
      <x:c r="M295" s="15" t="str"/>
      <x:c r="N295" s="15" t="str"/>
      <x:c r="O295" s="15" t="str"/>
      <x:c r="P295" s="15" t="str"/>
      <x:c r="Q295" s="15" t="str">
        <x:v>New Solve</x:v>
      </x:c>
    </x:row>
    <x:row r="296">
      <x:c r="A296" s="15" t="n">
        <x:v>295</x:v>
      </x:c>
      <x:c r="B296" s="39" t="n">
        <x:v>46386</x:v>
      </x:c>
      <x:c r="C296" s="15" t="str">
        <x:v>Phase 3: 3/day</x:v>
      </x:c>
      <x:c r="D296" s="15" t="str">
        <x:v>Graphs</x:v>
      </x:c>
      <x:c r="E296" s="15" t="str">
        <x:v>Hard</x:v>
      </x:c>
      <x:c r="F296" s="15" t="n">
        <x:v>778</x:v>
      </x:c>
      <x:c r="G296" s="15" t="str">
        <x:v>Swim in Rising Water</x:v>
      </x:c>
      <x:c r="H296" s="15" t="str">
        <x:v>https://leetcode.com/problems/swim-in-rising-water/</x:v>
      </x:c>
      <x:c r="I296" s="15" t="str">
        <x:v>Not Started</x:v>
      </x:c>
      <x:c r="J296" s="39"/>
      <x:c r="K296" s="39"/>
      <x:c r="L296" s="39"/>
      <x:c r="M296" s="15" t="str"/>
      <x:c r="N296" s="15" t="str"/>
      <x:c r="O296" s="15" t="str"/>
      <x:c r="P296" s="15" t="str"/>
      <x:c r="Q296" s="15" t="str">
        <x:v>New Solve</x:v>
      </x:c>
    </x:row>
    <x:row r="297">
      <x:c r="A297" s="15" t="n">
        <x:v>296</x:v>
      </x:c>
      <x:c r="B297" s="39" t="n">
        <x:v>46387</x:v>
      </x:c>
      <x:c r="C297" s="15" t="str">
        <x:v>Phase 3: 3/day</x:v>
      </x:c>
      <x:c r="D297" s="15" t="str">
        <x:v>Graphs</x:v>
      </x:c>
      <x:c r="E297" s="15" t="str">
        <x:v>Medium</x:v>
      </x:c>
      <x:c r="F297" s="15" t="n">
        <x:v>743</x:v>
      </x:c>
      <x:c r="G297" s="15" t="str">
        <x:v>Network Delay Time</x:v>
      </x:c>
      <x:c r="H297" s="15" t="str">
        <x:v>https://leetcode.com/problems/network-delay-time/</x:v>
      </x:c>
      <x:c r="I297" s="15" t="str">
        <x:v>Not Started</x:v>
      </x:c>
      <x:c r="J297" s="39"/>
      <x:c r="K297" s="39"/>
      <x:c r="L297" s="39"/>
      <x:c r="M297" s="15" t="str"/>
      <x:c r="N297" s="15" t="str"/>
      <x:c r="O297" s="15" t="str"/>
      <x:c r="P297" s="15" t="str"/>
      <x:c r="Q297" s="15" t="str">
        <x:v>New Solve</x:v>
      </x:c>
    </x:row>
    <x:row r="298">
      <x:c r="A298" s="15" t="n">
        <x:v>297</x:v>
      </x:c>
      <x:c r="B298" s="39" t="n">
        <x:v>46387</x:v>
      </x:c>
      <x:c r="C298" s="15" t="str">
        <x:v>Phase 3: 3/day</x:v>
      </x:c>
      <x:c r="D298" s="15" t="str">
        <x:v>Graphs</x:v>
      </x:c>
      <x:c r="E298" s="15" t="str">
        <x:v>Medium</x:v>
      </x:c>
      <x:c r="F298" s="15" t="n">
        <x:v>787</x:v>
      </x:c>
      <x:c r="G298" s="15" t="str">
        <x:v>Cheapest Flights Within K Stops</x:v>
      </x:c>
      <x:c r="H298" s="15" t="str">
        <x:v>https://leetcode.com/problems/cheapest-flights-within-k-stops/</x:v>
      </x:c>
      <x:c r="I298" s="15" t="str">
        <x:v>Not Started</x:v>
      </x:c>
      <x:c r="J298" s="39"/>
      <x:c r="K298" s="39"/>
      <x:c r="L298" s="39"/>
      <x:c r="M298" s="15" t="str"/>
      <x:c r="N298" s="15" t="str"/>
      <x:c r="O298" s="15" t="str"/>
      <x:c r="P298" s="15" t="str"/>
      <x:c r="Q298" s="15" t="str">
        <x:v>New Solve</x:v>
      </x:c>
    </x:row>
    <x:row r="299">
      <x:c r="A299" s="15" t="n">
        <x:v>298</x:v>
      </x:c>
      <x:c r="B299" s="39" t="n">
        <x:v>46387</x:v>
      </x:c>
      <x:c r="C299" s="15" t="str">
        <x:v>Phase 3: 3/day</x:v>
      </x:c>
      <x:c r="D299" s="15" t="str">
        <x:v>Graphs</x:v>
      </x:c>
      <x:c r="E299" s="15" t="str">
        <x:v>Medium</x:v>
      </x:c>
      <x:c r="F299" s="15" t="n">
        <x:v>1514</x:v>
      </x:c>
      <x:c r="G299" s="15" t="str">
        <x:v>Path with Maximum Probability</x:v>
      </x:c>
      <x:c r="H299" s="15" t="str">
        <x:v>https://leetcode.com/problems/path-with-maximum-probability/</x:v>
      </x:c>
      <x:c r="I299" s="15" t="str">
        <x:v>Not Started</x:v>
      </x:c>
      <x:c r="J299" s="39"/>
      <x:c r="K299" s="39"/>
      <x:c r="L299" s="39"/>
      <x:c r="M299" s="15" t="str"/>
      <x:c r="N299" s="15" t="str"/>
      <x:c r="O299" s="15" t="str"/>
      <x:c r="P299" s="15" t="str"/>
      <x:c r="Q299" s="15" t="str">
        <x:v>New Solve</x:v>
      </x:c>
    </x:row>
    <x:row r="300">
      <x:c r="A300" s="15" t="n">
        <x:v>299</x:v>
      </x:c>
      <x:c r="B300" s="39" t="n">
        <x:v>46388</x:v>
      </x:c>
      <x:c r="C300" s="15" t="str">
        <x:v>Phase 3: 3/day</x:v>
      </x:c>
      <x:c r="D300" s="15" t="str">
        <x:v>Graphs</x:v>
      </x:c>
      <x:c r="E300" s="15" t="str">
        <x:v>Medium</x:v>
      </x:c>
      <x:c r="F300" s="15" t="n">
        <x:v>1976</x:v>
      </x:c>
      <x:c r="G300" s="15" t="str">
        <x:v>Number of Ways to Arrive at Destination</x:v>
      </x:c>
      <x:c r="H300" s="15" t="str">
        <x:v>https://leetcode.com/problems/number-of-ways-to-arrive-at-destination/</x:v>
      </x:c>
      <x:c r="I300" s="15" t="str">
        <x:v>Not Started</x:v>
      </x:c>
      <x:c r="J300" s="39"/>
      <x:c r="K300" s="39"/>
      <x:c r="L300" s="39"/>
      <x:c r="M300" s="15" t="str"/>
      <x:c r="N300" s="15" t="str"/>
      <x:c r="O300" s="15" t="str"/>
      <x:c r="P300" s="15" t="str"/>
      <x:c r="Q300" s="15" t="str">
        <x:v>New Solve</x:v>
      </x:c>
    </x:row>
    <x:row r="301">
      <x:c r="A301" s="15" t="n">
        <x:v>300</x:v>
      </x:c>
      <x:c r="B301" s="39" t="n">
        <x:v>46388</x:v>
      </x:c>
      <x:c r="C301" s="15" t="str">
        <x:v>Phase 3: 3/day</x:v>
      </x:c>
      <x:c r="D301" s="15" t="str">
        <x:v>Graphs</x:v>
      </x:c>
      <x:c r="E301" s="15" t="str">
        <x:v>Hard</x:v>
      </x:c>
      <x:c r="F301" s="15" t="n">
        <x:v>2045</x:v>
      </x:c>
      <x:c r="G301" s="15" t="str">
        <x:v>Second Minimum Time to Reach Destination</x:v>
      </x:c>
      <x:c r="H301" s="15" t="str">
        <x:v>https://leetcode.com/problems/second-minimum-time-to-reach-destination/</x:v>
      </x:c>
      <x:c r="I301" s="15" t="str">
        <x:v>Not Started</x:v>
      </x:c>
      <x:c r="J301" s="39"/>
      <x:c r="K301" s="39"/>
      <x:c r="L301" s="39"/>
      <x:c r="M301" s="15" t="str"/>
      <x:c r="N301" s="15" t="str"/>
      <x:c r="O301" s="15" t="str"/>
      <x:c r="P301" s="15" t="str"/>
      <x:c r="Q301" s="15" t="str">
        <x:v>New Solve</x:v>
      </x:c>
    </x:row>
    <x:row r="302">
      <x:c r="A302" s="15" t="n">
        <x:v>301</x:v>
      </x:c>
      <x:c r="B302" s="39" t="n">
        <x:v>46388</x:v>
      </x:c>
      <x:c r="C302" s="15" t="str">
        <x:v>Phase 3: 3/day</x:v>
      </x:c>
      <x:c r="D302" s="15" t="str">
        <x:v>Graphs</x:v>
      </x:c>
      <x:c r="E302" s="15" t="str">
        <x:v>Medium</x:v>
      </x:c>
      <x:c r="F302" s="15" t="n">
        <x:v>1202</x:v>
      </x:c>
      <x:c r="G302" s="15" t="str">
        <x:v>Smallest String With Swaps</x:v>
      </x:c>
      <x:c r="H302" s="15" t="str">
        <x:v>https://leetcode.com/problems/smallest-string-with-swaps/</x:v>
      </x:c>
      <x:c r="I302" s="15" t="str">
        <x:v>Not Started</x:v>
      </x:c>
      <x:c r="J302" s="39"/>
      <x:c r="K302" s="39"/>
      <x:c r="L302" s="39"/>
      <x:c r="M302" s="15" t="str"/>
      <x:c r="N302" s="15" t="str"/>
      <x:c r="O302" s="15" t="str"/>
      <x:c r="P302" s="15" t="str"/>
      <x:c r="Q302" s="15" t="str">
        <x:v>New Solve</x:v>
      </x:c>
    </x:row>
    <x:row r="303">
      <x:c r="A303" s="15" t="n">
        <x:v>302</x:v>
      </x:c>
      <x:c r="B303" s="39" t="n">
        <x:v>46389</x:v>
      </x:c>
      <x:c r="C303" s="15" t="str">
        <x:v>Phase 3: 3/day</x:v>
      </x:c>
      <x:c r="D303" s="15" t="str">
        <x:v>Graphs</x:v>
      </x:c>
      <x:c r="E303" s="15" t="str">
        <x:v>Medium</x:v>
      </x:c>
      <x:c r="F303" s="15" t="n">
        <x:v>721</x:v>
      </x:c>
      <x:c r="G303" s="15" t="str">
        <x:v>Accounts Merge</x:v>
      </x:c>
      <x:c r="H303" s="15" t="str">
        <x:v>https://leetcode.com/problems/accounts-merge/</x:v>
      </x:c>
      <x:c r="I303" s="15" t="str">
        <x:v>Not Started</x:v>
      </x:c>
      <x:c r="J303" s="39"/>
      <x:c r="K303" s="39"/>
      <x:c r="L303" s="39"/>
      <x:c r="M303" s="15" t="str"/>
      <x:c r="N303" s="15" t="str"/>
      <x:c r="O303" s="15" t="str"/>
      <x:c r="P303" s="15" t="str"/>
      <x:c r="Q303" s="15" t="str">
        <x:v>New Solve</x:v>
      </x:c>
    </x:row>
    <x:row r="304">
      <x:c r="A304" s="15" t="n">
        <x:v>303</x:v>
      </x:c>
      <x:c r="B304" s="39" t="n">
        <x:v>46389</x:v>
      </x:c>
      <x:c r="C304" s="15" t="str">
        <x:v>Phase 3: 3/day</x:v>
      </x:c>
      <x:c r="D304" s="15" t="str">
        <x:v>Graphs</x:v>
      </x:c>
      <x:c r="E304" s="15" t="str">
        <x:v>Medium</x:v>
      </x:c>
      <x:c r="F304" s="15" t="n">
        <x:v>684</x:v>
      </x:c>
      <x:c r="G304" s="15" t="str">
        <x:v>Redundant Connection</x:v>
      </x:c>
      <x:c r="H304" s="15" t="str">
        <x:v>https://leetcode.com/problems/redundant-connection/</x:v>
      </x:c>
      <x:c r="I304" s="15" t="str">
        <x:v>Not Started</x:v>
      </x:c>
      <x:c r="J304" s="39"/>
      <x:c r="K304" s="39"/>
      <x:c r="L304" s="39"/>
      <x:c r="M304" s="15" t="str"/>
      <x:c r="N304" s="15" t="str"/>
      <x:c r="O304" s="15" t="str"/>
      <x:c r="P304" s="15" t="str"/>
      <x:c r="Q304" s="15" t="str">
        <x:v>New Solve</x:v>
      </x:c>
    </x:row>
    <x:row r="305">
      <x:c r="A305" s="15" t="n">
        <x:v>304</x:v>
      </x:c>
      <x:c r="B305" s="39" t="n">
        <x:v>46389</x:v>
      </x:c>
      <x:c r="C305" s="15" t="str">
        <x:v>Phase 3: 3/day</x:v>
      </x:c>
      <x:c r="D305" s="15" t="str">
        <x:v>Graphs</x:v>
      </x:c>
      <x:c r="E305" s="15" t="str">
        <x:v>Hard</x:v>
      </x:c>
      <x:c r="F305" s="15" t="n">
        <x:v>685</x:v>
      </x:c>
      <x:c r="G305" s="15" t="str">
        <x:v>Redundant Connection II</x:v>
      </x:c>
      <x:c r="H305" s="15" t="str">
        <x:v>https://leetcode.com/problems/redundant-connection-ii/</x:v>
      </x:c>
      <x:c r="I305" s="15" t="str">
        <x:v>Not Started</x:v>
      </x:c>
      <x:c r="J305" s="39"/>
      <x:c r="K305" s="39"/>
      <x:c r="L305" s="39"/>
      <x:c r="M305" s="15" t="str"/>
      <x:c r="N305" s="15" t="str"/>
      <x:c r="O305" s="15" t="str"/>
      <x:c r="P305" s="15" t="str"/>
      <x:c r="Q305" s="15" t="str">
        <x:v>New Solve</x:v>
      </x:c>
    </x:row>
    <x:row r="306">
      <x:c r="A306" s="15" t="n">
        <x:v>305</x:v>
      </x:c>
      <x:c r="B306" s="39" t="n">
        <x:v>46390</x:v>
      </x:c>
      <x:c r="C306" s="15" t="str">
        <x:v>Phase 3: 3/day</x:v>
      </x:c>
      <x:c r="D306" s="15" t="str">
        <x:v>Graphs</x:v>
      </x:c>
      <x:c r="E306" s="15" t="str">
        <x:v>Medium</x:v>
      </x:c>
      <x:c r="F306" s="15" t="n">
        <x:v>934</x:v>
      </x:c>
      <x:c r="G306" s="15" t="str">
        <x:v>Shortest Bridge</x:v>
      </x:c>
      <x:c r="H306" s="15" t="str">
        <x:v>https://leetcode.com/problems/shortest-bridge/</x:v>
      </x:c>
      <x:c r="I306" s="15" t="str">
        <x:v>Not Started</x:v>
      </x:c>
      <x:c r="J306" s="39"/>
      <x:c r="K306" s="39"/>
      <x:c r="L306" s="39"/>
      <x:c r="M306" s="15" t="str"/>
      <x:c r="N306" s="15" t="str"/>
      <x:c r="O306" s="15" t="str"/>
      <x:c r="P306" s="15" t="str"/>
      <x:c r="Q306" s="15" t="str">
        <x:v>New Solve</x:v>
      </x:c>
    </x:row>
    <x:row r="307">
      <x:c r="A307" s="15" t="n">
        <x:v>306</x:v>
      </x:c>
      <x:c r="B307" s="39"/>
      <x:c r="C307" s="15" t="str">
        <x:v>Already solved - revise</x:v>
      </x:c>
      <x:c r="D307" s="15" t="str">
        <x:v>Dynamic Programming</x:v>
      </x:c>
      <x:c r="E307" s="15" t="str">
        <x:v>Easy</x:v>
      </x:c>
      <x:c r="F307" s="15" t="n">
        <x:v>70</x:v>
      </x:c>
      <x:c r="G307" s="15" t="str">
        <x:v>Climbing Stairs</x:v>
      </x:c>
      <x:c r="H307" s="15" t="str">
        <x:v>https://leetcode.com/problems/climbing-stairs/</x:v>
      </x:c>
      <x:c r="I307" s="15" t="str">
        <x:v>Done</x:v>
      </x:c>
      <x:c r="J307" s="39"/>
      <x:c r="K307" s="39"/>
      <x:c r="L307" s="39"/>
      <x:c r="M307" s="15" t="str"/>
      <x:c r="N307" s="15" t="str"/>
      <x:c r="O307" s="15" t="str"/>
      <x:c r="P307" s="15" t="str"/>
      <x:c r="Q307" s="15" t="str">
        <x:v>Revision / Confirmed</x:v>
      </x:c>
    </x:row>
    <x:row r="308">
      <x:c r="A308" s="15" t="n">
        <x:v>307</x:v>
      </x:c>
      <x:c r="B308" s="39" t="n">
        <x:v>46390</x:v>
      </x:c>
      <x:c r="C308" s="15" t="str">
        <x:v>Phase 3: 3/day</x:v>
      </x:c>
      <x:c r="D308" s="15" t="str">
        <x:v>Dynamic Programming</x:v>
      </x:c>
      <x:c r="E308" s="15" t="str">
        <x:v>Easy</x:v>
      </x:c>
      <x:c r="F308" s="15" t="n">
        <x:v>746</x:v>
      </x:c>
      <x:c r="G308" s="15" t="str">
        <x:v>Min Cost Climbing Stairs</x:v>
      </x:c>
      <x:c r="H308" s="15" t="str">
        <x:v>https://leetcode.com/problems/min-cost-climbing-stairs/</x:v>
      </x:c>
      <x:c r="I308" s="15" t="str">
        <x:v>Not Started</x:v>
      </x:c>
      <x:c r="J308" s="39"/>
      <x:c r="K308" s="39"/>
      <x:c r="L308" s="39"/>
      <x:c r="M308" s="15" t="str"/>
      <x:c r="N308" s="15" t="str"/>
      <x:c r="O308" s="15" t="str"/>
      <x:c r="P308" s="15" t="str"/>
      <x:c r="Q308" s="15" t="str">
        <x:v>New Solve</x:v>
      </x:c>
    </x:row>
    <x:row r="309">
      <x:c r="A309" s="15" t="n">
        <x:v>308</x:v>
      </x:c>
      <x:c r="B309" s="39" t="n">
        <x:v>46390</x:v>
      </x:c>
      <x:c r="C309" s="15" t="str">
        <x:v>Phase 3: 3/day</x:v>
      </x:c>
      <x:c r="D309" s="15" t="str">
        <x:v>Dynamic Programming</x:v>
      </x:c>
      <x:c r="E309" s="15" t="str">
        <x:v>Medium</x:v>
      </x:c>
      <x:c r="F309" s="15" t="n">
        <x:v>198</x:v>
      </x:c>
      <x:c r="G309" s="15" t="str">
        <x:v>House Robber</x:v>
      </x:c>
      <x:c r="H309" s="15" t="str">
        <x:v>https://leetcode.com/problems/house-robber/</x:v>
      </x:c>
      <x:c r="I309" s="15" t="str">
        <x:v>Not Started</x:v>
      </x:c>
      <x:c r="J309" s="39"/>
      <x:c r="K309" s="39"/>
      <x:c r="L309" s="39"/>
      <x:c r="M309" s="15" t="str"/>
      <x:c r="N309" s="15" t="str"/>
      <x:c r="O309" s="15" t="str"/>
      <x:c r="P309" s="15" t="str"/>
      <x:c r="Q309" s="15" t="str">
        <x:v>New Solve</x:v>
      </x:c>
    </x:row>
    <x:row r="310">
      <x:c r="A310" s="15" t="n">
        <x:v>309</x:v>
      </x:c>
      <x:c r="B310" s="39" t="n">
        <x:v>46391</x:v>
      </x:c>
      <x:c r="C310" s="15" t="str">
        <x:v>Phase 3: 3/day</x:v>
      </x:c>
      <x:c r="D310" s="15" t="str">
        <x:v>Dynamic Programming</x:v>
      </x:c>
      <x:c r="E310" s="15" t="str">
        <x:v>Medium</x:v>
      </x:c>
      <x:c r="F310" s="15" t="n">
        <x:v>213</x:v>
      </x:c>
      <x:c r="G310" s="15" t="str">
        <x:v>House Robber II</x:v>
      </x:c>
      <x:c r="H310" s="15" t="str">
        <x:v>https://leetcode.com/problems/house-robber-ii/</x:v>
      </x:c>
      <x:c r="I310" s="15" t="str">
        <x:v>Not Started</x:v>
      </x:c>
      <x:c r="J310" s="39"/>
      <x:c r="K310" s="39"/>
      <x:c r="L310" s="39"/>
      <x:c r="M310" s="15" t="str"/>
      <x:c r="N310" s="15" t="str"/>
      <x:c r="O310" s="15" t="str"/>
      <x:c r="P310" s="15" t="str"/>
      <x:c r="Q310" s="15" t="str">
        <x:v>New Solve</x:v>
      </x:c>
    </x:row>
    <x:row r="311">
      <x:c r="A311" s="15" t="n">
        <x:v>310</x:v>
      </x:c>
      <x:c r="B311" s="39" t="n">
        <x:v>46391</x:v>
      </x:c>
      <x:c r="C311" s="15" t="str">
        <x:v>Phase 3: 3/day</x:v>
      </x:c>
      <x:c r="D311" s="15" t="str">
        <x:v>Dynamic Programming</x:v>
      </x:c>
      <x:c r="E311" s="15" t="str">
        <x:v>Medium</x:v>
      </x:c>
      <x:c r="F311" s="15" t="n">
        <x:v>740</x:v>
      </x:c>
      <x:c r="G311" s="15" t="str">
        <x:v>Delete and Earn</x:v>
      </x:c>
      <x:c r="H311" s="15" t="str">
        <x:v>https://leetcode.com/problems/delete-and-earn/</x:v>
      </x:c>
      <x:c r="I311" s="15" t="str">
        <x:v>Not Started</x:v>
      </x:c>
      <x:c r="J311" s="39"/>
      <x:c r="K311" s="39"/>
      <x:c r="L311" s="39"/>
      <x:c r="M311" s="15" t="str"/>
      <x:c r="N311" s="15" t="str"/>
      <x:c r="O311" s="15" t="str"/>
      <x:c r="P311" s="15" t="str"/>
      <x:c r="Q311" s="15" t="str">
        <x:v>New Solve</x:v>
      </x:c>
    </x:row>
    <x:row r="312">
      <x:c r="A312" s="15" t="n">
        <x:v>311</x:v>
      </x:c>
      <x:c r="B312" s="39" t="n">
        <x:v>46391</x:v>
      </x:c>
      <x:c r="C312" s="15" t="str">
        <x:v>Phase 3: 3/day</x:v>
      </x:c>
      <x:c r="D312" s="15" t="str">
        <x:v>Dynamic Programming</x:v>
      </x:c>
      <x:c r="E312" s="15" t="str">
        <x:v>Medium</x:v>
      </x:c>
      <x:c r="F312" s="15" t="n">
        <x:v>139</x:v>
      </x:c>
      <x:c r="G312" s="15" t="str">
        <x:v>Word Break</x:v>
      </x:c>
      <x:c r="H312" s="15" t="str">
        <x:v>https://leetcode.com/problems/word-break/</x:v>
      </x:c>
      <x:c r="I312" s="15" t="str">
        <x:v>Not Started</x:v>
      </x:c>
      <x:c r="J312" s="39"/>
      <x:c r="K312" s="39"/>
      <x:c r="L312" s="39"/>
      <x:c r="M312" s="15" t="str"/>
      <x:c r="N312" s="15" t="str"/>
      <x:c r="O312" s="15" t="str"/>
      <x:c r="P312" s="15" t="str"/>
      <x:c r="Q312" s="15" t="str">
        <x:v>New Solve</x:v>
      </x:c>
    </x:row>
    <x:row r="313">
      <x:c r="A313" s="15" t="n">
        <x:v>312</x:v>
      </x:c>
      <x:c r="B313" s="39" t="n">
        <x:v>46392</x:v>
      </x:c>
      <x:c r="C313" s="15" t="str">
        <x:v>Phase 3: 3/day</x:v>
      </x:c>
      <x:c r="D313" s="15" t="str">
        <x:v>Dynamic Programming</x:v>
      </x:c>
      <x:c r="E313" s="15" t="str">
        <x:v>Medium</x:v>
      </x:c>
      <x:c r="F313" s="15" t="n">
        <x:v>322</x:v>
      </x:c>
      <x:c r="G313" s="15" t="str">
        <x:v>Coin Change</x:v>
      </x:c>
      <x:c r="H313" s="15" t="str">
        <x:v>https://leetcode.com/problems/coin-change/</x:v>
      </x:c>
      <x:c r="I313" s="15" t="str">
        <x:v>Not Started</x:v>
      </x:c>
      <x:c r="J313" s="39"/>
      <x:c r="K313" s="39"/>
      <x:c r="L313" s="39"/>
      <x:c r="M313" s="15" t="str"/>
      <x:c r="N313" s="15" t="str"/>
      <x:c r="O313" s="15" t="str"/>
      <x:c r="P313" s="15" t="str"/>
      <x:c r="Q313" s="15" t="str">
        <x:v>New Solve</x:v>
      </x:c>
    </x:row>
    <x:row r="314">
      <x:c r="A314" s="15" t="n">
        <x:v>313</x:v>
      </x:c>
      <x:c r="B314" s="39" t="n">
        <x:v>46392</x:v>
      </x:c>
      <x:c r="C314" s="15" t="str">
        <x:v>Phase 3: 3/day</x:v>
      </x:c>
      <x:c r="D314" s="15" t="str">
        <x:v>Dynamic Programming</x:v>
      </x:c>
      <x:c r="E314" s="15" t="str">
        <x:v>Medium</x:v>
      </x:c>
      <x:c r="F314" s="15" t="n">
        <x:v>518</x:v>
      </x:c>
      <x:c r="G314" s="15" t="str">
        <x:v>Coin Change II</x:v>
      </x:c>
      <x:c r="H314" s="15" t="str">
        <x:v>https://leetcode.com/problems/coin-change-ii/</x:v>
      </x:c>
      <x:c r="I314" s="15" t="str">
        <x:v>Not Started</x:v>
      </x:c>
      <x:c r="J314" s="39"/>
      <x:c r="K314" s="39"/>
      <x:c r="L314" s="39"/>
      <x:c r="M314" s="15" t="str"/>
      <x:c r="N314" s="15" t="str"/>
      <x:c r="O314" s="15" t="str"/>
      <x:c r="P314" s="15" t="str"/>
      <x:c r="Q314" s="15" t="str">
        <x:v>New Solve</x:v>
      </x:c>
    </x:row>
    <x:row r="315">
      <x:c r="A315" s="15" t="n">
        <x:v>314</x:v>
      </x:c>
      <x:c r="B315" s="39" t="n">
        <x:v>46392</x:v>
      </x:c>
      <x:c r="C315" s="15" t="str">
        <x:v>Phase 3: 3/day</x:v>
      </x:c>
      <x:c r="D315" s="15" t="str">
        <x:v>Dynamic Programming</x:v>
      </x:c>
      <x:c r="E315" s="15" t="str">
        <x:v>Medium</x:v>
      </x:c>
      <x:c r="F315" s="15" t="n">
        <x:v>300</x:v>
      </x:c>
      <x:c r="G315" s="15" t="str">
        <x:v>Longest Increasing Subsequence</x:v>
      </x:c>
      <x:c r="H315" s="15" t="str">
        <x:v>https://leetcode.com/problems/longest-increasing-subsequence/</x:v>
      </x:c>
      <x:c r="I315" s="15" t="str">
        <x:v>Not Started</x:v>
      </x:c>
      <x:c r="J315" s="39"/>
      <x:c r="K315" s="39"/>
      <x:c r="L315" s="39"/>
      <x:c r="M315" s="15" t="str"/>
      <x:c r="N315" s="15" t="str"/>
      <x:c r="O315" s="15" t="str"/>
      <x:c r="P315" s="15" t="str"/>
      <x:c r="Q315" s="15" t="str">
        <x:v>New Solve</x:v>
      </x:c>
    </x:row>
    <x:row r="316">
      <x:c r="A316" s="15" t="n">
        <x:v>315</x:v>
      </x:c>
      <x:c r="B316" s="39" t="n">
        <x:v>46393</x:v>
      </x:c>
      <x:c r="C316" s="15" t="str">
        <x:v>Phase 3: 3/day</x:v>
      </x:c>
      <x:c r="D316" s="15" t="str">
        <x:v>Dynamic Programming</x:v>
      </x:c>
      <x:c r="E316" s="15" t="str">
        <x:v>Medium</x:v>
      </x:c>
      <x:c r="F316" s="15" t="n">
        <x:v>673</x:v>
      </x:c>
      <x:c r="G316" s="15" t="str">
        <x:v>Number of Longest Increasing Subsequence</x:v>
      </x:c>
      <x:c r="H316" s="15" t="str">
        <x:v>https://leetcode.com/problems/number-of-longest-increasing-subsequence/</x:v>
      </x:c>
      <x:c r="I316" s="15" t="str">
        <x:v>Not Started</x:v>
      </x:c>
      <x:c r="J316" s="39"/>
      <x:c r="K316" s="39"/>
      <x:c r="L316" s="39"/>
      <x:c r="M316" s="15" t="str"/>
      <x:c r="N316" s="15" t="str"/>
      <x:c r="O316" s="15" t="str"/>
      <x:c r="P316" s="15" t="str"/>
      <x:c r="Q316" s="15" t="str">
        <x:v>New Solve</x:v>
      </x:c>
    </x:row>
    <x:row r="317">
      <x:c r="A317" s="15" t="n">
        <x:v>316</x:v>
      </x:c>
      <x:c r="B317" s="39" t="n">
        <x:v>46393</x:v>
      </x:c>
      <x:c r="C317" s="15" t="str">
        <x:v>Phase 3: 3/day</x:v>
      </x:c>
      <x:c r="D317" s="15" t="str">
        <x:v>Dynamic Programming</x:v>
      </x:c>
      <x:c r="E317" s="15" t="str">
        <x:v>Medium</x:v>
      </x:c>
      <x:c r="F317" s="15" t="n">
        <x:v>1143</x:v>
      </x:c>
      <x:c r="G317" s="15" t="str">
        <x:v>Longest Common Subsequence</x:v>
      </x:c>
      <x:c r="H317" s="15" t="str">
        <x:v>https://leetcode.com/problems/longest-common-subsequence/</x:v>
      </x:c>
      <x:c r="I317" s="15" t="str">
        <x:v>Not Started</x:v>
      </x:c>
      <x:c r="J317" s="39"/>
      <x:c r="K317" s="39"/>
      <x:c r="L317" s="39"/>
      <x:c r="M317" s="15" t="str"/>
      <x:c r="N317" s="15" t="str"/>
      <x:c r="O317" s="15" t="str"/>
      <x:c r="P317" s="15" t="str"/>
      <x:c r="Q317" s="15" t="str">
        <x:v>New Solve</x:v>
      </x:c>
    </x:row>
    <x:row r="318">
      <x:c r="A318" s="15" t="n">
        <x:v>317</x:v>
      </x:c>
      <x:c r="B318" s="39" t="n">
        <x:v>46393</x:v>
      </x:c>
      <x:c r="C318" s="15" t="str">
        <x:v>Phase 3: 3/day</x:v>
      </x:c>
      <x:c r="D318" s="15" t="str">
        <x:v>Dynamic Programming</x:v>
      </x:c>
      <x:c r="E318" s="15" t="str">
        <x:v>Medium</x:v>
      </x:c>
      <x:c r="F318" s="15" t="n">
        <x:v>583</x:v>
      </x:c>
      <x:c r="G318" s="15" t="str">
        <x:v>Delete Operation for Two Strings</x:v>
      </x:c>
      <x:c r="H318" s="15" t="str">
        <x:v>https://leetcode.com/problems/delete-operation-for-two-strings/</x:v>
      </x:c>
      <x:c r="I318" s="15" t="str">
        <x:v>Not Started</x:v>
      </x:c>
      <x:c r="J318" s="39"/>
      <x:c r="K318" s="39"/>
      <x:c r="L318" s="39"/>
      <x:c r="M318" s="15" t="str"/>
      <x:c r="N318" s="15" t="str"/>
      <x:c r="O318" s="15" t="str"/>
      <x:c r="P318" s="15" t="str"/>
      <x:c r="Q318" s="15" t="str">
        <x:v>New Solve</x:v>
      </x:c>
    </x:row>
    <x:row r="319">
      <x:c r="A319" s="15" t="n">
        <x:v>318</x:v>
      </x:c>
      <x:c r="B319" s="39" t="n">
        <x:v>46394</x:v>
      </x:c>
      <x:c r="C319" s="15" t="str">
        <x:v>Phase 3: 3/day</x:v>
      </x:c>
      <x:c r="D319" s="15" t="str">
        <x:v>Dynamic Programming</x:v>
      </x:c>
      <x:c r="E319" s="15" t="str">
        <x:v>Medium</x:v>
      </x:c>
      <x:c r="F319" s="15" t="n">
        <x:v>712</x:v>
      </x:c>
      <x:c r="G319" s="15" t="str">
        <x:v>Minimum ASCII Delete Sum for Two Strings</x:v>
      </x:c>
      <x:c r="H319" s="15" t="str">
        <x:v>https://leetcode.com/problems/minimum-ascii-delete-sum-for-two-strings/</x:v>
      </x:c>
      <x:c r="I319" s="15" t="str">
        <x:v>Not Started</x:v>
      </x:c>
      <x:c r="J319" s="39"/>
      <x:c r="K319" s="39"/>
      <x:c r="L319" s="39"/>
      <x:c r="M319" s="15" t="str"/>
      <x:c r="N319" s="15" t="str"/>
      <x:c r="O319" s="15" t="str"/>
      <x:c r="P319" s="15" t="str"/>
      <x:c r="Q319" s="15" t="str">
        <x:v>New Solve</x:v>
      </x:c>
    </x:row>
    <x:row r="320">
      <x:c r="A320" s="15" t="n">
        <x:v>319</x:v>
      </x:c>
      <x:c r="B320" s="39" t="n">
        <x:v>46394</x:v>
      </x:c>
      <x:c r="C320" s="15" t="str">
        <x:v>Phase 3: 3/day</x:v>
      </x:c>
      <x:c r="D320" s="15" t="str">
        <x:v>Dynamic Programming</x:v>
      </x:c>
      <x:c r="E320" s="15" t="str">
        <x:v>Medium</x:v>
      </x:c>
      <x:c r="F320" s="15" t="n">
        <x:v>718</x:v>
      </x:c>
      <x:c r="G320" s="15" t="str">
        <x:v>Maximum Length of Repeated Subarray</x:v>
      </x:c>
      <x:c r="H320" s="15" t="str">
        <x:v>https://leetcode.com/problems/maximum-length-of-repeated-subarray/</x:v>
      </x:c>
      <x:c r="I320" s="15" t="str">
        <x:v>Not Started</x:v>
      </x:c>
      <x:c r="J320" s="39"/>
      <x:c r="K320" s="39"/>
      <x:c r="L320" s="39"/>
      <x:c r="M320" s="15" t="str"/>
      <x:c r="N320" s="15" t="str"/>
      <x:c r="O320" s="15" t="str"/>
      <x:c r="P320" s="15" t="str"/>
      <x:c r="Q320" s="15" t="str">
        <x:v>New Solve</x:v>
      </x:c>
    </x:row>
    <x:row r="321">
      <x:c r="A321" s="15" t="n">
        <x:v>320</x:v>
      </x:c>
      <x:c r="B321" s="39" t="n">
        <x:v>46394</x:v>
      </x:c>
      <x:c r="C321" s="15" t="str">
        <x:v>Phase 3: 3/day</x:v>
      </x:c>
      <x:c r="D321" s="15" t="str">
        <x:v>Dynamic Programming</x:v>
      </x:c>
      <x:c r="E321" s="15" t="str">
        <x:v>Medium</x:v>
      </x:c>
      <x:c r="F321" s="15" t="n">
        <x:v>62</x:v>
      </x:c>
      <x:c r="G321" s="15" t="str">
        <x:v>Unique Paths</x:v>
      </x:c>
      <x:c r="H321" s="15" t="str">
        <x:v>https://leetcode.com/problems/unique-paths/</x:v>
      </x:c>
      <x:c r="I321" s="15" t="str">
        <x:v>Not Started</x:v>
      </x:c>
      <x:c r="J321" s="39"/>
      <x:c r="K321" s="39"/>
      <x:c r="L321" s="39"/>
      <x:c r="M321" s="15" t="str"/>
      <x:c r="N321" s="15" t="str"/>
      <x:c r="O321" s="15" t="str"/>
      <x:c r="P321" s="15" t="str"/>
      <x:c r="Q321" s="15" t="str">
        <x:v>New Solve</x:v>
      </x:c>
    </x:row>
    <x:row r="322">
      <x:c r="A322" s="15" t="n">
        <x:v>321</x:v>
      </x:c>
      <x:c r="B322" s="39" t="n">
        <x:v>46395</x:v>
      </x:c>
      <x:c r="C322" s="15" t="str">
        <x:v>Phase 3: 3/day</x:v>
      </x:c>
      <x:c r="D322" s="15" t="str">
        <x:v>Dynamic Programming</x:v>
      </x:c>
      <x:c r="E322" s="15" t="str">
        <x:v>Medium</x:v>
      </x:c>
      <x:c r="F322" s="15" t="n">
        <x:v>63</x:v>
      </x:c>
      <x:c r="G322" s="15" t="str">
        <x:v>Unique Paths II</x:v>
      </x:c>
      <x:c r="H322" s="15" t="str">
        <x:v>https://leetcode.com/problems/unique-paths-ii/</x:v>
      </x:c>
      <x:c r="I322" s="15" t="str">
        <x:v>Not Started</x:v>
      </x:c>
      <x:c r="J322" s="39"/>
      <x:c r="K322" s="39"/>
      <x:c r="L322" s="39"/>
      <x:c r="M322" s="15" t="str"/>
      <x:c r="N322" s="15" t="str"/>
      <x:c r="O322" s="15" t="str"/>
      <x:c r="P322" s="15" t="str"/>
      <x:c r="Q322" s="15" t="str">
        <x:v>New Solve</x:v>
      </x:c>
    </x:row>
    <x:row r="323">
      <x:c r="A323" s="15" t="n">
        <x:v>322</x:v>
      </x:c>
      <x:c r="B323" s="39" t="n">
        <x:v>46395</x:v>
      </x:c>
      <x:c r="C323" s="15" t="str">
        <x:v>Phase 3: 3/day</x:v>
      </x:c>
      <x:c r="D323" s="15" t="str">
        <x:v>Dynamic Programming</x:v>
      </x:c>
      <x:c r="E323" s="15" t="str">
        <x:v>Medium</x:v>
      </x:c>
      <x:c r="F323" s="15" t="n">
        <x:v>64</x:v>
      </x:c>
      <x:c r="G323" s="15" t="str">
        <x:v>Minimum Path Sum</x:v>
      </x:c>
      <x:c r="H323" s="15" t="str">
        <x:v>https://leetcode.com/problems/minimum-path-sum/</x:v>
      </x:c>
      <x:c r="I323" s="15" t="str">
        <x:v>Not Started</x:v>
      </x:c>
      <x:c r="J323" s="39"/>
      <x:c r="K323" s="39"/>
      <x:c r="L323" s="39"/>
      <x:c r="M323" s="15" t="str"/>
      <x:c r="N323" s="15" t="str"/>
      <x:c r="O323" s="15" t="str"/>
      <x:c r="P323" s="15" t="str"/>
      <x:c r="Q323" s="15" t="str">
        <x:v>New Solve</x:v>
      </x:c>
    </x:row>
    <x:row r="324">
      <x:c r="A324" s="15" t="n">
        <x:v>323</x:v>
      </x:c>
      <x:c r="B324" s="39" t="n">
        <x:v>46395</x:v>
      </x:c>
      <x:c r="C324" s="15" t="str">
        <x:v>Phase 3: 3/day</x:v>
      </x:c>
      <x:c r="D324" s="15" t="str">
        <x:v>Dynamic Programming</x:v>
      </x:c>
      <x:c r="E324" s="15" t="str">
        <x:v>Medium</x:v>
      </x:c>
      <x:c r="F324" s="15" t="n">
        <x:v>120</x:v>
      </x:c>
      <x:c r="G324" s="15" t="str">
        <x:v>Triangle</x:v>
      </x:c>
      <x:c r="H324" s="15" t="str">
        <x:v>https://leetcode.com/problems/triangle/</x:v>
      </x:c>
      <x:c r="I324" s="15" t="str">
        <x:v>Not Started</x:v>
      </x:c>
      <x:c r="J324" s="39"/>
      <x:c r="K324" s="39"/>
      <x:c r="L324" s="39"/>
      <x:c r="M324" s="15" t="str"/>
      <x:c r="N324" s="15" t="str"/>
      <x:c r="O324" s="15" t="str"/>
      <x:c r="P324" s="15" t="str"/>
      <x:c r="Q324" s="15" t="str">
        <x:v>New Solve</x:v>
      </x:c>
    </x:row>
    <x:row r="325">
      <x:c r="A325" s="15" t="n">
        <x:v>324</x:v>
      </x:c>
      <x:c r="B325" s="39" t="n">
        <x:v>46396</x:v>
      </x:c>
      <x:c r="C325" s="15" t="str">
        <x:v>Phase 3: 3/day</x:v>
      </x:c>
      <x:c r="D325" s="15" t="str">
        <x:v>Dynamic Programming</x:v>
      </x:c>
      <x:c r="E325" s="15" t="str">
        <x:v>Medium</x:v>
      </x:c>
      <x:c r="F325" s="15" t="n">
        <x:v>931</x:v>
      </x:c>
      <x:c r="G325" s="15" t="str">
        <x:v>Minimum Falling Path Sum</x:v>
      </x:c>
      <x:c r="H325" s="15" t="str">
        <x:v>https://leetcode.com/problems/minimum-falling-path-sum/</x:v>
      </x:c>
      <x:c r="I325" s="15" t="str">
        <x:v>Not Started</x:v>
      </x:c>
      <x:c r="J325" s="39"/>
      <x:c r="K325" s="39"/>
      <x:c r="L325" s="39"/>
      <x:c r="M325" s="15" t="str"/>
      <x:c r="N325" s="15" t="str"/>
      <x:c r="O325" s="15" t="str"/>
      <x:c r="P325" s="15" t="str"/>
      <x:c r="Q325" s="15" t="str">
        <x:v>New Solve</x:v>
      </x:c>
    </x:row>
    <x:row r="326">
      <x:c r="A326" s="15" t="n">
        <x:v>325</x:v>
      </x:c>
      <x:c r="B326" s="39" t="n">
        <x:v>46396</x:v>
      </x:c>
      <x:c r="C326" s="15" t="str">
        <x:v>Phase 3: 3/day</x:v>
      </x:c>
      <x:c r="D326" s="15" t="str">
        <x:v>Dynamic Programming</x:v>
      </x:c>
      <x:c r="E326" s="15" t="str">
        <x:v>Medium</x:v>
      </x:c>
      <x:c r="F326" s="15" t="n">
        <x:v>221</x:v>
      </x:c>
      <x:c r="G326" s="15" t="str">
        <x:v>Maximal Square</x:v>
      </x:c>
      <x:c r="H326" s="15" t="str">
        <x:v>https://leetcode.com/problems/maximal-square/</x:v>
      </x:c>
      <x:c r="I326" s="15" t="str">
        <x:v>Not Started</x:v>
      </x:c>
      <x:c r="J326" s="39"/>
      <x:c r="K326" s="39"/>
      <x:c r="L326" s="39"/>
      <x:c r="M326" s="15" t="str"/>
      <x:c r="N326" s="15" t="str"/>
      <x:c r="O326" s="15" t="str"/>
      <x:c r="P326" s="15" t="str"/>
      <x:c r="Q326" s="15" t="str">
        <x:v>New Solve</x:v>
      </x:c>
    </x:row>
    <x:row r="327">
      <x:c r="A327" s="15" t="n">
        <x:v>326</x:v>
      </x:c>
      <x:c r="B327" s="39" t="n">
        <x:v>46396</x:v>
      </x:c>
      <x:c r="C327" s="15" t="str">
        <x:v>Phase 3: 3/day</x:v>
      </x:c>
      <x:c r="D327" s="15" t="str">
        <x:v>Dynamic Programming</x:v>
      </x:c>
      <x:c r="E327" s="15" t="str">
        <x:v>Medium</x:v>
      </x:c>
      <x:c r="F327" s="15" t="n">
        <x:v>1277</x:v>
      </x:c>
      <x:c r="G327" s="15" t="str">
        <x:v>Count Square Submatrices with All Ones</x:v>
      </x:c>
      <x:c r="H327" s="15" t="str">
        <x:v>https://leetcode.com/problems/count-square-submatrices-with-all-ones/</x:v>
      </x:c>
      <x:c r="I327" s="15" t="str">
        <x:v>Not Started</x:v>
      </x:c>
      <x:c r="J327" s="39"/>
      <x:c r="K327" s="39"/>
      <x:c r="L327" s="39"/>
      <x:c r="M327" s="15" t="str"/>
      <x:c r="N327" s="15" t="str"/>
      <x:c r="O327" s="15" t="str"/>
      <x:c r="P327" s="15" t="str"/>
      <x:c r="Q327" s="15" t="str">
        <x:v>New Solve</x:v>
      </x:c>
    </x:row>
    <x:row r="328">
      <x:c r="A328" s="15" t="n">
        <x:v>327</x:v>
      </x:c>
      <x:c r="B328" s="39" t="n">
        <x:v>46397</x:v>
      </x:c>
      <x:c r="C328" s="15" t="str">
        <x:v>Phase 3: 3/day</x:v>
      </x:c>
      <x:c r="D328" s="15" t="str">
        <x:v>Dynamic Programming</x:v>
      </x:c>
      <x:c r="E328" s="15" t="str">
        <x:v>Medium</x:v>
      </x:c>
      <x:c r="F328" s="15" t="n">
        <x:v>279</x:v>
      </x:c>
      <x:c r="G328" s="15" t="str">
        <x:v>Perfect Squares</x:v>
      </x:c>
      <x:c r="H328" s="15" t="str">
        <x:v>https://leetcode.com/problems/perfect-squares/</x:v>
      </x:c>
      <x:c r="I328" s="15" t="str">
        <x:v>Not Started</x:v>
      </x:c>
      <x:c r="J328" s="39"/>
      <x:c r="K328" s="39"/>
      <x:c r="L328" s="39"/>
      <x:c r="M328" s="15" t="str"/>
      <x:c r="N328" s="15" t="str"/>
      <x:c r="O328" s="15" t="str"/>
      <x:c r="P328" s="15" t="str"/>
      <x:c r="Q328" s="15" t="str">
        <x:v>New Solve</x:v>
      </x:c>
    </x:row>
    <x:row r="329">
      <x:c r="A329" s="15" t="n">
        <x:v>328</x:v>
      </x:c>
      <x:c r="B329" s="39" t="n">
        <x:v>46397</x:v>
      </x:c>
      <x:c r="C329" s="15" t="str">
        <x:v>Phase 3: 3/day</x:v>
      </x:c>
      <x:c r="D329" s="15" t="str">
        <x:v>Dynamic Programming</x:v>
      </x:c>
      <x:c r="E329" s="15" t="str">
        <x:v>Medium</x:v>
      </x:c>
      <x:c r="F329" s="15" t="n">
        <x:v>343</x:v>
      </x:c>
      <x:c r="G329" s="15" t="str">
        <x:v>Integer Break</x:v>
      </x:c>
      <x:c r="H329" s="15" t="str">
        <x:v>https://leetcode.com/problems/integer-break/</x:v>
      </x:c>
      <x:c r="I329" s="15" t="str">
        <x:v>Not Started</x:v>
      </x:c>
      <x:c r="J329" s="39"/>
      <x:c r="K329" s="39"/>
      <x:c r="L329" s="39"/>
      <x:c r="M329" s="15" t="str"/>
      <x:c r="N329" s="15" t="str"/>
      <x:c r="O329" s="15" t="str"/>
      <x:c r="P329" s="15" t="str"/>
      <x:c r="Q329" s="15" t="str">
        <x:v>New Solve</x:v>
      </x:c>
    </x:row>
    <x:row r="330">
      <x:c r="A330" s="15" t="n">
        <x:v>329</x:v>
      </x:c>
      <x:c r="B330" s="39" t="n">
        <x:v>46397</x:v>
      </x:c>
      <x:c r="C330" s="15" t="str">
        <x:v>Phase 3: 3/day</x:v>
      </x:c>
      <x:c r="D330" s="15" t="str">
        <x:v>Dynamic Programming</x:v>
      </x:c>
      <x:c r="E330" s="15" t="str">
        <x:v>Medium</x:v>
      </x:c>
      <x:c r="F330" s="15" t="n">
        <x:v>416</x:v>
      </x:c>
      <x:c r="G330" s="15" t="str">
        <x:v>Partition Equal Subset Sum</x:v>
      </x:c>
      <x:c r="H330" s="15" t="str">
        <x:v>https://leetcode.com/problems/partition-equal-subset-sum/</x:v>
      </x:c>
      <x:c r="I330" s="15" t="str">
        <x:v>Not Started</x:v>
      </x:c>
      <x:c r="J330" s="39"/>
      <x:c r="K330" s="39"/>
      <x:c r="L330" s="39"/>
      <x:c r="M330" s="15" t="str"/>
      <x:c r="N330" s="15" t="str"/>
      <x:c r="O330" s="15" t="str"/>
      <x:c r="P330" s="15" t="str"/>
      <x:c r="Q330" s="15" t="str">
        <x:v>New Solve</x:v>
      </x:c>
    </x:row>
    <x:row r="331">
      <x:c r="A331" s="15" t="n">
        <x:v>330</x:v>
      </x:c>
      <x:c r="B331" s="39" t="n">
        <x:v>46398</x:v>
      </x:c>
      <x:c r="C331" s="15" t="str">
        <x:v>Phase 3: 3/day</x:v>
      </x:c>
      <x:c r="D331" s="15" t="str">
        <x:v>Dynamic Programming</x:v>
      </x:c>
      <x:c r="E331" s="15" t="str">
        <x:v>Medium</x:v>
      </x:c>
      <x:c r="F331" s="15" t="n">
        <x:v>494</x:v>
      </x:c>
      <x:c r="G331" s="15" t="str">
        <x:v>Target Sum</x:v>
      </x:c>
      <x:c r="H331" s="15" t="str">
        <x:v>https://leetcode.com/problems/target-sum/</x:v>
      </x:c>
      <x:c r="I331" s="15" t="str">
        <x:v>Not Started</x:v>
      </x:c>
      <x:c r="J331" s="39"/>
      <x:c r="K331" s="39"/>
      <x:c r="L331" s="39"/>
      <x:c r="M331" s="15" t="str"/>
      <x:c r="N331" s="15" t="str"/>
      <x:c r="O331" s="15" t="str"/>
      <x:c r="P331" s="15" t="str"/>
      <x:c r="Q331" s="15" t="str">
        <x:v>New Solve</x:v>
      </x:c>
    </x:row>
    <x:row r="332">
      <x:c r="A332" s="15" t="n">
        <x:v>331</x:v>
      </x:c>
      <x:c r="B332" s="39" t="n">
        <x:v>46398</x:v>
      </x:c>
      <x:c r="C332" s="15" t="str">
        <x:v>Phase 3: 3/day</x:v>
      </x:c>
      <x:c r="D332" s="15" t="str">
        <x:v>Dynamic Programming</x:v>
      </x:c>
      <x:c r="E332" s="15" t="str">
        <x:v>Medium</x:v>
      </x:c>
      <x:c r="F332" s="15" t="n">
        <x:v>474</x:v>
      </x:c>
      <x:c r="G332" s="15" t="str">
        <x:v>Ones and Zeroes</x:v>
      </x:c>
      <x:c r="H332" s="15" t="str">
        <x:v>https://leetcode.com/problems/ones-and-zeroes/</x:v>
      </x:c>
      <x:c r="I332" s="15" t="str">
        <x:v>Not Started</x:v>
      </x:c>
      <x:c r="J332" s="39"/>
      <x:c r="K332" s="39"/>
      <x:c r="L332" s="39"/>
      <x:c r="M332" s="15" t="str"/>
      <x:c r="N332" s="15" t="str"/>
      <x:c r="O332" s="15" t="str"/>
      <x:c r="P332" s="15" t="str"/>
      <x:c r="Q332" s="15" t="str">
        <x:v>New Solve</x:v>
      </x:c>
    </x:row>
    <x:row r="333">
      <x:c r="A333" s="15" t="n">
        <x:v>332</x:v>
      </x:c>
      <x:c r="B333" s="39" t="n">
        <x:v>46398</x:v>
      </x:c>
      <x:c r="C333" s="15" t="str">
        <x:v>Phase 3: 3/day</x:v>
      </x:c>
      <x:c r="D333" s="15" t="str">
        <x:v>Dynamic Programming</x:v>
      </x:c>
      <x:c r="E333" s="15" t="str">
        <x:v>Medium</x:v>
      </x:c>
      <x:c r="F333" s="15" t="n">
        <x:v>1049</x:v>
      </x:c>
      <x:c r="G333" s="15" t="str">
        <x:v>Last Stone Weight II</x:v>
      </x:c>
      <x:c r="H333" s="15" t="str">
        <x:v>https://leetcode.com/problems/last-stone-weight-ii/</x:v>
      </x:c>
      <x:c r="I333" s="15" t="str">
        <x:v>Not Started</x:v>
      </x:c>
      <x:c r="J333" s="39"/>
      <x:c r="K333" s="39"/>
      <x:c r="L333" s="39"/>
      <x:c r="M333" s="15" t="str"/>
      <x:c r="N333" s="15" t="str"/>
      <x:c r="O333" s="15" t="str"/>
      <x:c r="P333" s="15" t="str"/>
      <x:c r="Q333" s="15" t="str">
        <x:v>New Solve</x:v>
      </x:c>
    </x:row>
    <x:row r="334">
      <x:c r="A334" s="15" t="n">
        <x:v>333</x:v>
      </x:c>
      <x:c r="B334" s="39"/>
      <x:c r="C334" s="15" t="str">
        <x:v>Already solved - revise</x:v>
      </x:c>
      <x:c r="D334" s="15" t="str">
        <x:v>Dynamic Programming</x:v>
      </x:c>
      <x:c r="E334" s="15" t="str">
        <x:v>Medium</x:v>
      </x:c>
      <x:c r="F334" s="15" t="n">
        <x:v>152</x:v>
      </x:c>
      <x:c r="G334" s="15" t="str">
        <x:v>Maximum Product Subarray</x:v>
      </x:c>
      <x:c r="H334" s="15" t="str">
        <x:v>https://leetcode.com/problems/maximum-product-subarray/</x:v>
      </x:c>
      <x:c r="I334" s="15" t="str">
        <x:v>Done</x:v>
      </x:c>
      <x:c r="J334" s="39"/>
      <x:c r="K334" s="39"/>
      <x:c r="L334" s="39"/>
      <x:c r="M334" s="15" t="str"/>
      <x:c r="N334" s="15" t="str"/>
      <x:c r="O334" s="15" t="str"/>
      <x:c r="P334" s="15" t="str"/>
      <x:c r="Q334" s="15" t="str">
        <x:v>Revision / Confirmed</x:v>
      </x:c>
    </x:row>
    <x:row r="335">
      <x:c r="A335" s="15" t="n">
        <x:v>334</x:v>
      </x:c>
      <x:c r="B335" s="39"/>
      <x:c r="C335" s="15" t="str">
        <x:v>Already solved - revise</x:v>
      </x:c>
      <x:c r="D335" s="15" t="str">
        <x:v>Dynamic Programming</x:v>
      </x:c>
      <x:c r="E335" s="15" t="str">
        <x:v>Easy</x:v>
      </x:c>
      <x:c r="F335" s="15" t="n">
        <x:v>121</x:v>
      </x:c>
      <x:c r="G335" s="15" t="str">
        <x:v>Best Time to Buy and Sell Stock</x:v>
      </x:c>
      <x:c r="H335" s="15" t="str">
        <x:v>https://leetcode.com/problems/best-time-to-buy-and-sell-stock/</x:v>
      </x:c>
      <x:c r="I335" s="15" t="str">
        <x:v>Done</x:v>
      </x:c>
      <x:c r="J335" s="39"/>
      <x:c r="K335" s="39"/>
      <x:c r="L335" s="39"/>
      <x:c r="M335" s="15" t="str"/>
      <x:c r="N335" s="15" t="str"/>
      <x:c r="O335" s="15" t="str"/>
      <x:c r="P335" s="15" t="str"/>
      <x:c r="Q335" s="15" t="str">
        <x:v>Revision / Confirmed</x:v>
      </x:c>
    </x:row>
    <x:row r="336">
      <x:c r="A336" s="15" t="n">
        <x:v>335</x:v>
      </x:c>
      <x:c r="B336" s="39" t="n">
        <x:v>46399</x:v>
      </x:c>
      <x:c r="C336" s="15" t="str">
        <x:v>Phase 3: 3/day</x:v>
      </x:c>
      <x:c r="D336" s="15" t="str">
        <x:v>Dynamic Programming</x:v>
      </x:c>
      <x:c r="E336" s="15" t="str">
        <x:v>Medium</x:v>
      </x:c>
      <x:c r="F336" s="15" t="n">
        <x:v>122</x:v>
      </x:c>
      <x:c r="G336" s="15" t="str">
        <x:v>Best Time to Buy and Sell Stock II</x:v>
      </x:c>
      <x:c r="H336" s="15" t="str">
        <x:v>https://leetcode.com/problems/best-time-to-buy-and-sell-stock-ii/</x:v>
      </x:c>
      <x:c r="I336" s="15" t="str">
        <x:v>Not Started</x:v>
      </x:c>
      <x:c r="J336" s="39"/>
      <x:c r="K336" s="39"/>
      <x:c r="L336" s="39"/>
      <x:c r="M336" s="15" t="str"/>
      <x:c r="N336" s="15" t="str"/>
      <x:c r="O336" s="15" t="str"/>
      <x:c r="P336" s="15" t="str"/>
      <x:c r="Q336" s="15" t="str">
        <x:v>New Solve</x:v>
      </x:c>
    </x:row>
    <x:row r="337">
      <x:c r="A337" s="15" t="n">
        <x:v>336</x:v>
      </x:c>
      <x:c r="B337" s="39" t="n">
        <x:v>46399</x:v>
      </x:c>
      <x:c r="C337" s="15" t="str">
        <x:v>Phase 3: 3/day</x:v>
      </x:c>
      <x:c r="D337" s="15" t="str">
        <x:v>Dynamic Programming</x:v>
      </x:c>
      <x:c r="E337" s="15" t="str">
        <x:v>Hard</x:v>
      </x:c>
      <x:c r="F337" s="15" t="n">
        <x:v>123</x:v>
      </x:c>
      <x:c r="G337" s="15" t="str">
        <x:v>Best Time to Buy and Sell Stock III</x:v>
      </x:c>
      <x:c r="H337" s="15" t="str">
        <x:v>https://leetcode.com/problems/best-time-to-buy-and-sell-stock-iii/</x:v>
      </x:c>
      <x:c r="I337" s="15" t="str">
        <x:v>Not Started</x:v>
      </x:c>
      <x:c r="J337" s="39"/>
      <x:c r="K337" s="39"/>
      <x:c r="L337" s="39"/>
      <x:c r="M337" s="15" t="str"/>
      <x:c r="N337" s="15" t="str"/>
      <x:c r="O337" s="15" t="str"/>
      <x:c r="P337" s="15" t="str"/>
      <x:c r="Q337" s="15" t="str">
        <x:v>New Solve</x:v>
      </x:c>
    </x:row>
    <x:row r="338">
      <x:c r="A338" s="15" t="n">
        <x:v>337</x:v>
      </x:c>
      <x:c r="B338" s="39" t="n">
        <x:v>46399</x:v>
      </x:c>
      <x:c r="C338" s="15" t="str">
        <x:v>Phase 3: 3/day</x:v>
      </x:c>
      <x:c r="D338" s="15" t="str">
        <x:v>Dynamic Programming</x:v>
      </x:c>
      <x:c r="E338" s="15" t="str">
        <x:v>Hard</x:v>
      </x:c>
      <x:c r="F338" s="15" t="n">
        <x:v>188</x:v>
      </x:c>
      <x:c r="G338" s="15" t="str">
        <x:v>Best Time to Buy and Sell Stock IV</x:v>
      </x:c>
      <x:c r="H338" s="15" t="str">
        <x:v>https://leetcode.com/problems/best-time-to-buy-and-sell-stock-iv/</x:v>
      </x:c>
      <x:c r="I338" s="15" t="str">
        <x:v>Not Started</x:v>
      </x:c>
      <x:c r="J338" s="39"/>
      <x:c r="K338" s="39"/>
      <x:c r="L338" s="39"/>
      <x:c r="M338" s="15" t="str"/>
      <x:c r="N338" s="15" t="str"/>
      <x:c r="O338" s="15" t="str"/>
      <x:c r="P338" s="15" t="str"/>
      <x:c r="Q338" s="15" t="str">
        <x:v>New Solve</x:v>
      </x:c>
    </x:row>
    <x:row r="339">
      <x:c r="A339" s="15" t="n">
        <x:v>338</x:v>
      </x:c>
      <x:c r="B339" s="39" t="n">
        <x:v>46400</x:v>
      </x:c>
      <x:c r="C339" s="15" t="str">
        <x:v>Phase 3: 3/day</x:v>
      </x:c>
      <x:c r="D339" s="15" t="str">
        <x:v>Dynamic Programming</x:v>
      </x:c>
      <x:c r="E339" s="15" t="str">
        <x:v>Medium</x:v>
      </x:c>
      <x:c r="F339" s="15" t="n">
        <x:v>309</x:v>
      </x:c>
      <x:c r="G339" s="15" t="str">
        <x:v>Best Time to Buy and Sell Stock with Cooldown</x:v>
      </x:c>
      <x:c r="H339" s="15" t="str">
        <x:v>https://leetcode.com/problems/best-time-to-buy-and-sell-stock-with-cooldown/</x:v>
      </x:c>
      <x:c r="I339" s="15" t="str">
        <x:v>Not Started</x:v>
      </x:c>
      <x:c r="J339" s="39"/>
      <x:c r="K339" s="39"/>
      <x:c r="L339" s="39"/>
      <x:c r="M339" s="15" t="str"/>
      <x:c r="N339" s="15" t="str"/>
      <x:c r="O339" s="15" t="str"/>
      <x:c r="P339" s="15" t="str"/>
      <x:c r="Q339" s="15" t="str">
        <x:v>New Solve</x:v>
      </x:c>
    </x:row>
    <x:row r="340">
      <x:c r="A340" s="15" t="n">
        <x:v>339</x:v>
      </x:c>
      <x:c r="B340" s="39" t="n">
        <x:v>46400</x:v>
      </x:c>
      <x:c r="C340" s="15" t="str">
        <x:v>Phase 3: 3/day</x:v>
      </x:c>
      <x:c r="D340" s="15" t="str">
        <x:v>Dynamic Programming</x:v>
      </x:c>
      <x:c r="E340" s="15" t="str">
        <x:v>Medium</x:v>
      </x:c>
      <x:c r="F340" s="15" t="n">
        <x:v>714</x:v>
      </x:c>
      <x:c r="G340" s="15" t="str">
        <x:v>Best Time to Buy and Sell Stock with Transaction Fee</x:v>
      </x:c>
      <x:c r="H340" s="15" t="str">
        <x:v>https://leetcode.com/problems/best-time-to-buy-and-sell-stock-with-transaction-fee/</x:v>
      </x:c>
      <x:c r="I340" s="15" t="str">
        <x:v>Not Started</x:v>
      </x:c>
      <x:c r="J340" s="39"/>
      <x:c r="K340" s="39"/>
      <x:c r="L340" s="39"/>
      <x:c r="M340" s="15" t="str"/>
      <x:c r="N340" s="15" t="str"/>
      <x:c r="O340" s="15" t="str"/>
      <x:c r="P340" s="15" t="str"/>
      <x:c r="Q340" s="15" t="str">
        <x:v>New Solve</x:v>
      </x:c>
    </x:row>
    <x:row r="341">
      <x:c r="A341" s="15" t="n">
        <x:v>340</x:v>
      </x:c>
      <x:c r="B341" s="39"/>
      <x:c r="C341" s="15" t="str">
        <x:v>Already solved - revise</x:v>
      </x:c>
      <x:c r="D341" s="15" t="str">
        <x:v>Dynamic Programming</x:v>
      </x:c>
      <x:c r="E341" s="15" t="str">
        <x:v>Medium</x:v>
      </x:c>
      <x:c r="F341" s="15" t="n">
        <x:v>53</x:v>
      </x:c>
      <x:c r="G341" s="15" t="str">
        <x:v>Maximum Subarray</x:v>
      </x:c>
      <x:c r="H341" s="15" t="str">
        <x:v>https://leetcode.com/problems/maximum-subarray/</x:v>
      </x:c>
      <x:c r="I341" s="15" t="str">
        <x:v>Done</x:v>
      </x:c>
      <x:c r="J341" s="39"/>
      <x:c r="K341" s="39"/>
      <x:c r="L341" s="39"/>
      <x:c r="M341" s="15" t="str"/>
      <x:c r="N341" s="15" t="str"/>
      <x:c r="O341" s="15" t="str"/>
      <x:c r="P341" s="15" t="str"/>
      <x:c r="Q341" s="15" t="str">
        <x:v>Revision / Confirmed</x:v>
      </x:c>
    </x:row>
    <x:row r="342">
      <x:c r="A342" s="15" t="n">
        <x:v>341</x:v>
      </x:c>
      <x:c r="B342" s="39" t="n">
        <x:v>46400</x:v>
      </x:c>
      <x:c r="C342" s="15" t="str">
        <x:v>Phase 3: 3/day</x:v>
      </x:c>
      <x:c r="D342" s="15" t="str">
        <x:v>Dynamic Programming</x:v>
      </x:c>
      <x:c r="E342" s="15" t="str">
        <x:v>Medium</x:v>
      </x:c>
      <x:c r="F342" s="15" t="n">
        <x:v>918</x:v>
      </x:c>
      <x:c r="G342" s="15" t="str">
        <x:v>Maximum Sum Circular Subarray</x:v>
      </x:c>
      <x:c r="H342" s="15" t="str">
        <x:v>https://leetcode.com/problems/maximum-sum-circular-subarray/</x:v>
      </x:c>
      <x:c r="I342" s="15" t="str">
        <x:v>Not Started</x:v>
      </x:c>
      <x:c r="J342" s="39"/>
      <x:c r="K342" s="39"/>
      <x:c r="L342" s="39"/>
      <x:c r="M342" s="15" t="str"/>
      <x:c r="N342" s="15" t="str"/>
      <x:c r="O342" s="15" t="str"/>
      <x:c r="P342" s="15" t="str"/>
      <x:c r="Q342" s="15" t="str">
        <x:v>New Solve</x:v>
      </x:c>
    </x:row>
    <x:row r="343">
      <x:c r="A343" s="15" t="n">
        <x:v>342</x:v>
      </x:c>
      <x:c r="B343" s="39" t="n">
        <x:v>46401</x:v>
      </x:c>
      <x:c r="C343" s="15" t="str">
        <x:v>Phase 3: 3/day</x:v>
      </x:c>
      <x:c r="D343" s="15" t="str">
        <x:v>Dynamic Programming</x:v>
      </x:c>
      <x:c r="E343" s="15" t="str">
        <x:v>Medium</x:v>
      </x:c>
      <x:c r="F343" s="15" t="n">
        <x:v>516</x:v>
      </x:c>
      <x:c r="G343" s="15" t="str">
        <x:v>Longest Palindromic Subsequence</x:v>
      </x:c>
      <x:c r="H343" s="15" t="str">
        <x:v>https://leetcode.com/problems/longest-palindromic-subsequence/</x:v>
      </x:c>
      <x:c r="I343" s="15" t="str">
        <x:v>Not Started</x:v>
      </x:c>
      <x:c r="J343" s="39"/>
      <x:c r="K343" s="39"/>
      <x:c r="L343" s="39"/>
      <x:c r="M343" s="15" t="str"/>
      <x:c r="N343" s="15" t="str"/>
      <x:c r="O343" s="15" t="str"/>
      <x:c r="P343" s="15" t="str"/>
      <x:c r="Q343" s="15" t="str">
        <x:v>New Solve</x:v>
      </x:c>
    </x:row>
    <x:row r="344">
      <x:c r="A344" s="15" t="n">
        <x:v>343</x:v>
      </x:c>
      <x:c r="B344" s="39" t="n">
        <x:v>46401</x:v>
      </x:c>
      <x:c r="C344" s="15" t="str">
        <x:v>Phase 3: 3/day</x:v>
      </x:c>
      <x:c r="D344" s="15" t="str">
        <x:v>Dynamic Programming</x:v>
      </x:c>
      <x:c r="E344" s="15" t="str">
        <x:v>Hard</x:v>
      </x:c>
      <x:c r="F344" s="15" t="n">
        <x:v>1312</x:v>
      </x:c>
      <x:c r="G344" s="15" t="str">
        <x:v>Minimum Insertion Steps to Make a String Palindrome</x:v>
      </x:c>
      <x:c r="H344" s="15" t="str">
        <x:v>https://leetcode.com/problems/minimum-insertion-steps-to-make-a-string-palindrome/</x:v>
      </x:c>
      <x:c r="I344" s="15" t="str">
        <x:v>Not Started</x:v>
      </x:c>
      <x:c r="J344" s="39"/>
      <x:c r="K344" s="39"/>
      <x:c r="L344" s="39"/>
      <x:c r="M344" s="15" t="str"/>
      <x:c r="N344" s="15" t="str"/>
      <x:c r="O344" s="15" t="str"/>
      <x:c r="P344" s="15" t="str"/>
      <x:c r="Q344" s="15" t="str">
        <x:v>New Solve</x:v>
      </x:c>
    </x:row>
    <x:row r="345">
      <x:c r="A345" s="15" t="n">
        <x:v>344</x:v>
      </x:c>
      <x:c r="B345" s="39" t="n">
        <x:v>46401</x:v>
      </x:c>
      <x:c r="C345" s="15" t="str">
        <x:v>Phase 3: 3/day</x:v>
      </x:c>
      <x:c r="D345" s="15" t="str">
        <x:v>Dynamic Programming</x:v>
      </x:c>
      <x:c r="E345" s="15" t="str">
        <x:v>Medium</x:v>
      </x:c>
      <x:c r="F345" s="15" t="n">
        <x:v>97</x:v>
      </x:c>
      <x:c r="G345" s="15" t="str">
        <x:v>Interleaving String</x:v>
      </x:c>
      <x:c r="H345" s="15" t="str">
        <x:v>https://leetcode.com/problems/interleaving-string/</x:v>
      </x:c>
      <x:c r="I345" s="15" t="str">
        <x:v>Not Started</x:v>
      </x:c>
      <x:c r="J345" s="39"/>
      <x:c r="K345" s="39"/>
      <x:c r="L345" s="39"/>
      <x:c r="M345" s="15" t="str"/>
      <x:c r="N345" s="15" t="str"/>
      <x:c r="O345" s="15" t="str"/>
      <x:c r="P345" s="15" t="str"/>
      <x:c r="Q345" s="15" t="str">
        <x:v>New Solve</x:v>
      </x:c>
    </x:row>
    <x:row r="346">
      <x:c r="A346" s="15" t="n">
        <x:v>345</x:v>
      </x:c>
      <x:c r="B346" s="39" t="n">
        <x:v>46402</x:v>
      </x:c>
      <x:c r="C346" s="15" t="str">
        <x:v>Phase 3: 3/day</x:v>
      </x:c>
      <x:c r="D346" s="15" t="str">
        <x:v>Dynamic Programming</x:v>
      </x:c>
      <x:c r="E346" s="15" t="str">
        <x:v>Medium</x:v>
      </x:c>
      <x:c r="F346" s="15" t="n">
        <x:v>1155</x:v>
      </x:c>
      <x:c r="G346" s="15" t="str">
        <x:v>Number of Dice Rolls With Target Sum</x:v>
      </x:c>
      <x:c r="H346" s="15" t="str">
        <x:v>https://leetcode.com/problems/number-of-dice-rolls-with-target-sum/</x:v>
      </x:c>
      <x:c r="I346" s="15" t="str">
        <x:v>Not Started</x:v>
      </x:c>
      <x:c r="J346" s="39"/>
      <x:c r="K346" s="39"/>
      <x:c r="L346" s="39"/>
      <x:c r="M346" s="15" t="str"/>
      <x:c r="N346" s="15" t="str"/>
      <x:c r="O346" s="15" t="str"/>
      <x:c r="P346" s="15" t="str"/>
      <x:c r="Q346" s="15" t="str">
        <x:v>New Solve</x:v>
      </x:c>
    </x:row>
    <x:row r="347">
      <x:c r="A347" s="15" t="n">
        <x:v>346</x:v>
      </x:c>
      <x:c r="B347" s="39" t="n">
        <x:v>46402</x:v>
      </x:c>
      <x:c r="C347" s="15" t="str">
        <x:v>Phase 3: 3/day</x:v>
      </x:c>
      <x:c r="D347" s="15" t="str">
        <x:v>Dynamic Programming</x:v>
      </x:c>
      <x:c r="E347" s="15" t="str">
        <x:v>Medium</x:v>
      </x:c>
      <x:c r="F347" s="15" t="n">
        <x:v>1262</x:v>
      </x:c>
      <x:c r="G347" s="15" t="str">
        <x:v>Greatest Sum Divisible by Three</x:v>
      </x:c>
      <x:c r="H347" s="15" t="str">
        <x:v>https://leetcode.com/problems/greatest-sum-divisible-by-three/</x:v>
      </x:c>
      <x:c r="I347" s="15" t="str">
        <x:v>Not Started</x:v>
      </x:c>
      <x:c r="J347" s="39"/>
      <x:c r="K347" s="39"/>
      <x:c r="L347" s="39"/>
      <x:c r="M347" s="15" t="str"/>
      <x:c r="N347" s="15" t="str"/>
      <x:c r="O347" s="15" t="str"/>
      <x:c r="P347" s="15" t="str"/>
      <x:c r="Q347" s="15" t="str">
        <x:v>New Solve</x:v>
      </x:c>
    </x:row>
    <x:row r="348">
      <x:c r="A348" s="15" t="n">
        <x:v>347</x:v>
      </x:c>
      <x:c r="B348" s="39" t="n">
        <x:v>46402</x:v>
      </x:c>
      <x:c r="C348" s="15" t="str">
        <x:v>Phase 3: 3/day</x:v>
      </x:c>
      <x:c r="D348" s="15" t="str">
        <x:v>Dynamic Programming</x:v>
      </x:c>
      <x:c r="E348" s="15" t="str">
        <x:v>Medium</x:v>
      </x:c>
      <x:c r="F348" s="15" t="n">
        <x:v>1395</x:v>
      </x:c>
      <x:c r="G348" s="15" t="str">
        <x:v>Count Number of Teams</x:v>
      </x:c>
      <x:c r="H348" s="15" t="str">
        <x:v>https://leetcode.com/problems/count-number-of-teams/</x:v>
      </x:c>
      <x:c r="I348" s="15" t="str">
        <x:v>Not Started</x:v>
      </x:c>
      <x:c r="J348" s="39"/>
      <x:c r="K348" s="39"/>
      <x:c r="L348" s="39"/>
      <x:c r="M348" s="15" t="str"/>
      <x:c r="N348" s="15" t="str"/>
      <x:c r="O348" s="15" t="str"/>
      <x:c r="P348" s="15" t="str"/>
      <x:c r="Q348" s="15" t="str">
        <x:v>New Solve</x:v>
      </x:c>
    </x:row>
    <x:row r="349">
      <x:c r="A349" s="15" t="n">
        <x:v>348</x:v>
      </x:c>
      <x:c r="B349" s="39" t="n">
        <x:v>46403</x:v>
      </x:c>
      <x:c r="C349" s="15" t="str">
        <x:v>Phase 3: 3/day</x:v>
      </x:c>
      <x:c r="D349" s="15" t="str">
        <x:v>Dynamic Programming</x:v>
      </x:c>
      <x:c r="E349" s="15" t="str">
        <x:v>Hard</x:v>
      </x:c>
      <x:c r="F349" s="15" t="n">
        <x:v>140</x:v>
      </x:c>
      <x:c r="G349" s="15" t="str">
        <x:v>Word Break II</x:v>
      </x:c>
      <x:c r="H349" s="15" t="str">
        <x:v>https://leetcode.com/problems/word-break-ii/</x:v>
      </x:c>
      <x:c r="I349" s="15" t="str">
        <x:v>Not Started</x:v>
      </x:c>
      <x:c r="J349" s="39"/>
      <x:c r="K349" s="39"/>
      <x:c r="L349" s="39"/>
      <x:c r="M349" s="15" t="str"/>
      <x:c r="N349" s="15" t="str"/>
      <x:c r="O349" s="15" t="str"/>
      <x:c r="P349" s="15" t="str"/>
      <x:c r="Q349" s="15" t="str">
        <x:v>New Solve</x:v>
      </x:c>
    </x:row>
    <x:row r="350">
      <x:c r="A350" s="15" t="n">
        <x:v>349</x:v>
      </x:c>
      <x:c r="B350" s="39" t="n">
        <x:v>46403</x:v>
      </x:c>
      <x:c r="C350" s="15" t="str">
        <x:v>Phase 3: 3/day</x:v>
      </x:c>
      <x:c r="D350" s="15" t="str">
        <x:v>Dynamic Programming</x:v>
      </x:c>
      <x:c r="E350" s="15" t="str">
        <x:v>Hard</x:v>
      </x:c>
      <x:c r="F350" s="15" t="n">
        <x:v>312</x:v>
      </x:c>
      <x:c r="G350" s="15" t="str">
        <x:v>Burst Balloons</x:v>
      </x:c>
      <x:c r="H350" s="15" t="str">
        <x:v>https://leetcode.com/problems/burst-balloons/</x:v>
      </x:c>
      <x:c r="I350" s="15" t="str">
        <x:v>Not Started</x:v>
      </x:c>
      <x:c r="J350" s="39"/>
      <x:c r="K350" s="39"/>
      <x:c r="L350" s="39"/>
      <x:c r="M350" s="15" t="str"/>
      <x:c r="N350" s="15" t="str"/>
      <x:c r="O350" s="15" t="str"/>
      <x:c r="P350" s="15" t="str"/>
      <x:c r="Q350" s="15" t="str">
        <x:v>New Solve</x:v>
      </x:c>
    </x:row>
    <x:row r="351">
      <x:c r="A351" s="15" t="n">
        <x:v>350</x:v>
      </x:c>
      <x:c r="B351" s="39" t="n">
        <x:v>46403</x:v>
      </x:c>
      <x:c r="C351" s="15" t="str">
        <x:v>Phase 3: 3/day</x:v>
      </x:c>
      <x:c r="D351" s="15" t="str">
        <x:v>Dynamic Programming</x:v>
      </x:c>
      <x:c r="E351" s="15" t="str">
        <x:v>Hard</x:v>
      </x:c>
      <x:c r="F351" s="15" t="n">
        <x:v>887</x:v>
      </x:c>
      <x:c r="G351" s="15" t="str">
        <x:v>Super Egg Drop</x:v>
      </x:c>
      <x:c r="H351" s="15" t="str">
        <x:v>https://leetcode.com/problems/super-egg-drop/</x:v>
      </x:c>
      <x:c r="I351" s="15" t="str">
        <x:v>Not Started</x:v>
      </x:c>
      <x:c r="J351" s="39"/>
      <x:c r="K351" s="39"/>
      <x:c r="L351" s="39"/>
      <x:c r="M351" s="15" t="str"/>
      <x:c r="N351" s="15" t="str"/>
      <x:c r="O351" s="15" t="str"/>
      <x:c r="P351" s="15" t="str"/>
      <x:c r="Q351" s="15" t="str">
        <x:v>New Solve</x:v>
      </x:c>
    </x:row>
    <x:row r="352">
      <x:c r="A352" s="15" t="n">
        <x:v>351</x:v>
      </x:c>
      <x:c r="B352" s="39" t="n">
        <x:v>46404</x:v>
      </x:c>
      <x:c r="C352" s="15" t="str">
        <x:v>Phase 3: 3/day</x:v>
      </x:c>
      <x:c r="D352" s="15" t="str">
        <x:v>Dynamic Programming</x:v>
      </x:c>
      <x:c r="E352" s="15" t="str">
        <x:v>Medium</x:v>
      </x:c>
      <x:c r="F352" s="15" t="n">
        <x:v>1140</x:v>
      </x:c>
      <x:c r="G352" s="15" t="str">
        <x:v>Stone Game II</x:v>
      </x:c>
      <x:c r="H352" s="15" t="str">
        <x:v>https://leetcode.com/problems/stone-game-ii/</x:v>
      </x:c>
      <x:c r="I352" s="15" t="str">
        <x:v>Not Started</x:v>
      </x:c>
      <x:c r="J352" s="39"/>
      <x:c r="K352" s="39"/>
      <x:c r="L352" s="39"/>
      <x:c r="M352" s="15" t="str"/>
      <x:c r="N352" s="15" t="str"/>
      <x:c r="O352" s="15" t="str"/>
      <x:c r="P352" s="15" t="str"/>
      <x:c r="Q352" s="15" t="str">
        <x:v>New Solve</x:v>
      </x:c>
    </x:row>
    <x:row r="353">
      <x:c r="A353" s="15" t="n">
        <x:v>352</x:v>
      </x:c>
      <x:c r="B353" s="39" t="n">
        <x:v>46404</x:v>
      </x:c>
      <x:c r="C353" s="15" t="str">
        <x:v>Phase 3: 3/day</x:v>
      </x:c>
      <x:c r="D353" s="15" t="str">
        <x:v>Dynamic Programming</x:v>
      </x:c>
      <x:c r="E353" s="15" t="str">
        <x:v>Medium</x:v>
      </x:c>
      <x:c r="F353" s="15" t="n">
        <x:v>1690</x:v>
      </x:c>
      <x:c r="G353" s="15" t="str">
        <x:v>Stone Game VII</x:v>
      </x:c>
      <x:c r="H353" s="15" t="str">
        <x:v>https://leetcode.com/problems/stone-game-vii/</x:v>
      </x:c>
      <x:c r="I353" s="15" t="str">
        <x:v>Not Started</x:v>
      </x:c>
      <x:c r="J353" s="39"/>
      <x:c r="K353" s="39"/>
      <x:c r="L353" s="39"/>
      <x:c r="M353" s="15" t="str"/>
      <x:c r="N353" s="15" t="str"/>
      <x:c r="O353" s="15" t="str"/>
      <x:c r="P353" s="15" t="str"/>
      <x:c r="Q353" s="15" t="str">
        <x:v>New Solve</x:v>
      </x:c>
    </x:row>
    <x:row r="354">
      <x:c r="A354" s="15" t="n">
        <x:v>353</x:v>
      </x:c>
      <x:c r="B354" s="39" t="n">
        <x:v>46404</x:v>
      </x:c>
      <x:c r="C354" s="15" t="str">
        <x:v>Phase 3: 3/day</x:v>
      </x:c>
      <x:c r="D354" s="15" t="str">
        <x:v>Dynamic Programming</x:v>
      </x:c>
      <x:c r="E354" s="15" t="str">
        <x:v>Medium</x:v>
      </x:c>
      <x:c r="F354" s="15" t="n">
        <x:v>1770</x:v>
      </x:c>
      <x:c r="G354" s="15" t="str">
        <x:v>Maximum Score from Performing Multiplication Operations</x:v>
      </x:c>
      <x:c r="H354" s="15" t="str">
        <x:v>https://leetcode.com/problems/maximum-score-from-performing-multiplication-operations/</x:v>
      </x:c>
      <x:c r="I354" s="15" t="str">
        <x:v>Not Started</x:v>
      </x:c>
      <x:c r="J354" s="39"/>
      <x:c r="K354" s="39"/>
      <x:c r="L354" s="39"/>
      <x:c r="M354" s="15" t="str"/>
      <x:c r="N354" s="15" t="str"/>
      <x:c r="O354" s="15" t="str"/>
      <x:c r="P354" s="15" t="str"/>
      <x:c r="Q354" s="15" t="str">
        <x:v>New Solve</x:v>
      </x:c>
    </x:row>
    <x:row r="355">
      <x:c r="A355" s="15" t="n">
        <x:v>354</x:v>
      </x:c>
      <x:c r="B355" s="39" t="n">
        <x:v>46405</x:v>
      </x:c>
      <x:c r="C355" s="15" t="str">
        <x:v>Phase 3: 3/day</x:v>
      </x:c>
      <x:c r="D355" s="15" t="str">
        <x:v>Dynamic Programming</x:v>
      </x:c>
      <x:c r="E355" s="15" t="str">
        <x:v>Hard</x:v>
      </x:c>
      <x:c r="F355" s="15" t="n">
        <x:v>1547</x:v>
      </x:c>
      <x:c r="G355" s="15" t="str">
        <x:v>Minimum Cost to Cut a Stick</x:v>
      </x:c>
      <x:c r="H355" s="15" t="str">
        <x:v>https://leetcode.com/problems/minimum-cost-to-cut-a-stick/</x:v>
      </x:c>
      <x:c r="I355" s="15" t="str">
        <x:v>Not Started</x:v>
      </x:c>
      <x:c r="J355" s="39"/>
      <x:c r="K355" s="39"/>
      <x:c r="L355" s="39"/>
      <x:c r="M355" s="15" t="str"/>
      <x:c r="N355" s="15" t="str"/>
      <x:c r="O355" s="15" t="str"/>
      <x:c r="P355" s="15" t="str"/>
      <x:c r="Q355" s="15" t="str">
        <x:v>New Solve</x:v>
      </x:c>
    </x:row>
    <x:row r="356">
      <x:c r="A356" s="15" t="n">
        <x:v>355</x:v>
      </x:c>
      <x:c r="B356" s="39" t="n">
        <x:v>46405</x:v>
      </x:c>
      <x:c r="C356" s="15" t="str">
        <x:v>Phase 3: 3/day</x:v>
      </x:c>
      <x:c r="D356" s="15" t="str">
        <x:v>Dynamic Programming</x:v>
      </x:c>
      <x:c r="E356" s="15" t="str">
        <x:v>Hard</x:v>
      </x:c>
      <x:c r="F356" s="15" t="n">
        <x:v>1000</x:v>
      </x:c>
      <x:c r="G356" s="15" t="str">
        <x:v>Minimum Cost to Merge Stones</x:v>
      </x:c>
      <x:c r="H356" s="15" t="str">
        <x:v>https://leetcode.com/problems/minimum-cost-to-merge-stones/</x:v>
      </x:c>
      <x:c r="I356" s="15" t="str">
        <x:v>Not Started</x:v>
      </x:c>
      <x:c r="J356" s="39"/>
      <x:c r="K356" s="39"/>
      <x:c r="L356" s="39"/>
      <x:c r="M356" s="15" t="str"/>
      <x:c r="N356" s="15" t="str"/>
      <x:c r="O356" s="15" t="str"/>
      <x:c r="P356" s="15" t="str"/>
      <x:c r="Q356" s="15" t="str">
        <x:v>New Solve</x:v>
      </x:c>
    </x:row>
    <x:row r="357">
      <x:c r="A357" s="15" t="n">
        <x:v>356</x:v>
      </x:c>
      <x:c r="B357" s="39" t="n">
        <x:v>46405</x:v>
      </x:c>
      <x:c r="C357" s="15" t="str">
        <x:v>Phase 3: 3/day</x:v>
      </x:c>
      <x:c r="D357" s="15" t="str">
        <x:v>Dynamic Programming</x:v>
      </x:c>
      <x:c r="E357" s="15" t="str">
        <x:v>Hard</x:v>
      </x:c>
      <x:c r="F357" s="15" t="n">
        <x:v>329</x:v>
      </x:c>
      <x:c r="G357" s="15" t="str">
        <x:v>Longest Increasing Path in a Matrix</x:v>
      </x:c>
      <x:c r="H357" s="15" t="str">
        <x:v>https://leetcode.com/problems/longest-increasing-path-in-a-matrix/</x:v>
      </x:c>
      <x:c r="I357" s="15" t="str">
        <x:v>Not Started</x:v>
      </x:c>
      <x:c r="J357" s="39"/>
      <x:c r="K357" s="39"/>
      <x:c r="L357" s="39"/>
      <x:c r="M357" s="15" t="str"/>
      <x:c r="N357" s="15" t="str"/>
      <x:c r="O357" s="15" t="str"/>
      <x:c r="P357" s="15" t="str"/>
      <x:c r="Q357" s="15" t="str">
        <x:v>New Solve</x:v>
      </x:c>
    </x:row>
    <x:row r="358">
      <x:c r="A358" s="15" t="n">
        <x:v>357</x:v>
      </x:c>
      <x:c r="B358" s="39" t="n">
        <x:v>46406</x:v>
      </x:c>
      <x:c r="C358" s="15" t="str">
        <x:v>Phase 3: 3/day</x:v>
      </x:c>
      <x:c r="D358" s="15" t="str">
        <x:v>Dynamic Programming</x:v>
      </x:c>
      <x:c r="E358" s="15" t="str">
        <x:v>Medium</x:v>
      </x:c>
      <x:c r="F358" s="15" t="n">
        <x:v>576</x:v>
      </x:c>
      <x:c r="G358" s="15" t="str">
        <x:v>Out of Boundary Paths</x:v>
      </x:c>
      <x:c r="H358" s="15" t="str">
        <x:v>https://leetcode.com/problems/out-of-boundary-paths/</x:v>
      </x:c>
      <x:c r="I358" s="15" t="str">
        <x:v>Not Started</x:v>
      </x:c>
      <x:c r="J358" s="39"/>
      <x:c r="K358" s="39"/>
      <x:c r="L358" s="39"/>
      <x:c r="M358" s="15" t="str"/>
      <x:c r="N358" s="15" t="str"/>
      <x:c r="O358" s="15" t="str"/>
      <x:c r="P358" s="15" t="str"/>
      <x:c r="Q358" s="15" t="str">
        <x:v>New Solve</x:v>
      </x:c>
    </x:row>
    <x:row r="359">
      <x:c r="A359" s="15" t="n">
        <x:v>358</x:v>
      </x:c>
      <x:c r="B359" s="39" t="n">
        <x:v>46406</x:v>
      </x:c>
      <x:c r="C359" s="15" t="str">
        <x:v>Phase 3: 3/day</x:v>
      </x:c>
      <x:c r="D359" s="15" t="str">
        <x:v>Dynamic Programming</x:v>
      </x:c>
      <x:c r="E359" s="15" t="str">
        <x:v>Medium</x:v>
      </x:c>
      <x:c r="F359" s="15" t="n">
        <x:v>688</x:v>
      </x:c>
      <x:c r="G359" s="15" t="str">
        <x:v>Knight Probability in Chessboard</x:v>
      </x:c>
      <x:c r="H359" s="15" t="str">
        <x:v>https://leetcode.com/problems/knight-probability-in-chessboard/</x:v>
      </x:c>
      <x:c r="I359" s="15" t="str">
        <x:v>Not Started</x:v>
      </x:c>
      <x:c r="J359" s="39"/>
      <x:c r="K359" s="39"/>
      <x:c r="L359" s="39"/>
      <x:c r="M359" s="15" t="str"/>
      <x:c r="N359" s="15" t="str"/>
      <x:c r="O359" s="15" t="str"/>
      <x:c r="P359" s="15" t="str"/>
      <x:c r="Q359" s="15" t="str">
        <x:v>New Solve</x:v>
      </x:c>
    </x:row>
    <x:row r="360">
      <x:c r="A360" s="15" t="n">
        <x:v>359</x:v>
      </x:c>
      <x:c r="B360" s="39" t="n">
        <x:v>46406</x:v>
      </x:c>
      <x:c r="C360" s="15" t="str">
        <x:v>Phase 3: 3/day</x:v>
      </x:c>
      <x:c r="D360" s="15" t="str">
        <x:v>Dynamic Programming</x:v>
      </x:c>
      <x:c r="E360" s="15" t="str">
        <x:v>Medium</x:v>
      </x:c>
      <x:c r="F360" s="15" t="n">
        <x:v>935</x:v>
      </x:c>
      <x:c r="G360" s="15" t="str">
        <x:v>Knight Dialer</x:v>
      </x:c>
      <x:c r="H360" s="15" t="str">
        <x:v>https://leetcode.com/problems/knight-dialer/</x:v>
      </x:c>
      <x:c r="I360" s="15" t="str">
        <x:v>Not Started</x:v>
      </x:c>
      <x:c r="J360" s="39"/>
      <x:c r="K360" s="39"/>
      <x:c r="L360" s="39"/>
      <x:c r="M360" s="15" t="str"/>
      <x:c r="N360" s="15" t="str"/>
      <x:c r="O360" s="15" t="str"/>
      <x:c r="P360" s="15" t="str"/>
      <x:c r="Q360" s="15" t="str">
        <x:v>New Solve</x:v>
      </x:c>
    </x:row>
    <x:row r="361">
      <x:c r="A361" s="15" t="n">
        <x:v>360</x:v>
      </x:c>
      <x:c r="B361" s="39" t="n">
        <x:v>46407</x:v>
      </x:c>
      <x:c r="C361" s="15" t="str">
        <x:v>Phase 3: 3/day</x:v>
      </x:c>
      <x:c r="D361" s="15" t="str">
        <x:v>Dynamic Programming</x:v>
      </x:c>
      <x:c r="E361" s="15" t="str">
        <x:v>Medium</x:v>
      </x:c>
      <x:c r="F361" s="15" t="n">
        <x:v>983</x:v>
      </x:c>
      <x:c r="G361" s="15" t="str">
        <x:v>Minimum Cost For Tickets</x:v>
      </x:c>
      <x:c r="H361" s="15" t="str">
        <x:v>https://leetcode.com/problems/minimum-cost-for-tickets/</x:v>
      </x:c>
      <x:c r="I361" s="15" t="str">
        <x:v>Not Started</x:v>
      </x:c>
      <x:c r="J361" s="39"/>
      <x:c r="K361" s="39"/>
      <x:c r="L361" s="39"/>
      <x:c r="M361" s="15" t="str"/>
      <x:c r="N361" s="15" t="str"/>
      <x:c r="O361" s="15" t="str"/>
      <x:c r="P361" s="15" t="str"/>
      <x:c r="Q361" s="15" t="str">
        <x:v>New Solve</x:v>
      </x:c>
    </x:row>
    <x:row r="362">
      <x:c r="A362" s="15" t="n">
        <x:v>361</x:v>
      </x:c>
      <x:c r="B362" s="39" t="n">
        <x:v>46407</x:v>
      </x:c>
      <x:c r="C362" s="15" t="str">
        <x:v>Phase 3: 3/day</x:v>
      </x:c>
      <x:c r="D362" s="15" t="str">
        <x:v>Dynamic Programming</x:v>
      </x:c>
      <x:c r="E362" s="15" t="str">
        <x:v>Medium</x:v>
      </x:c>
      <x:c r="F362" s="15" t="n">
        <x:v>1027</x:v>
      </x:c>
      <x:c r="G362" s="15" t="str">
        <x:v>Longest Arithmetic Subsequence</x:v>
      </x:c>
      <x:c r="H362" s="15" t="str">
        <x:v>https://leetcode.com/problems/longest-arithmetic-subsequence/</x:v>
      </x:c>
      <x:c r="I362" s="15" t="str">
        <x:v>Not Started</x:v>
      </x:c>
      <x:c r="J362" s="39"/>
      <x:c r="K362" s="39"/>
      <x:c r="L362" s="39"/>
      <x:c r="M362" s="15" t="str"/>
      <x:c r="N362" s="15" t="str"/>
      <x:c r="O362" s="15" t="str"/>
      <x:c r="P362" s="15" t="str"/>
      <x:c r="Q362" s="15" t="str">
        <x:v>New Solve</x:v>
      </x:c>
    </x:row>
    <x:row r="363">
      <x:c r="A363" s="15" t="n">
        <x:v>362</x:v>
      </x:c>
      <x:c r="B363" s="39" t="n">
        <x:v>46407</x:v>
      </x:c>
      <x:c r="C363" s="15" t="str">
        <x:v>Phase 3: 3/day</x:v>
      </x:c>
      <x:c r="D363" s="15" t="str">
        <x:v>Dynamic Programming</x:v>
      </x:c>
      <x:c r="E363" s="15" t="str">
        <x:v>Medium</x:v>
      </x:c>
      <x:c r="F363" s="15" t="n">
        <x:v>1048</x:v>
      </x:c>
      <x:c r="G363" s="15" t="str">
        <x:v>Longest String Chain</x:v>
      </x:c>
      <x:c r="H363" s="15" t="str">
        <x:v>https://leetcode.com/problems/longest-string-chain/</x:v>
      </x:c>
      <x:c r="I363" s="15" t="str">
        <x:v>Not Started</x:v>
      </x:c>
      <x:c r="J363" s="39"/>
      <x:c r="K363" s="39"/>
      <x:c r="L363" s="39"/>
      <x:c r="M363" s="15" t="str"/>
      <x:c r="N363" s="15" t="str"/>
      <x:c r="O363" s="15" t="str"/>
      <x:c r="P363" s="15" t="str"/>
      <x:c r="Q363" s="15" t="str">
        <x:v>New Solve</x:v>
      </x:c>
    </x:row>
    <x:row r="364">
      <x:c r="A364" s="15" t="n">
        <x:v>363</x:v>
      </x:c>
      <x:c r="B364" s="39" t="n">
        <x:v>46408</x:v>
      </x:c>
      <x:c r="C364" s="15" t="str">
        <x:v>Phase 3: 3/day</x:v>
      </x:c>
      <x:c r="D364" s="15" t="str">
        <x:v>Dynamic Programming</x:v>
      </x:c>
      <x:c r="E364" s="15" t="str">
        <x:v>Medium</x:v>
      </x:c>
      <x:c r="F364" s="15" t="n">
        <x:v>1105</x:v>
      </x:c>
      <x:c r="G364" s="15" t="str">
        <x:v>Filling Bookcase Shelves</x:v>
      </x:c>
      <x:c r="H364" s="15" t="str">
        <x:v>https://leetcode.com/problems/filling-bookcase-shelves/</x:v>
      </x:c>
      <x:c r="I364" s="15" t="str">
        <x:v>Not Started</x:v>
      </x:c>
      <x:c r="J364" s="39"/>
      <x:c r="K364" s="39"/>
      <x:c r="L364" s="39"/>
      <x:c r="M364" s="15" t="str"/>
      <x:c r="N364" s="15" t="str"/>
      <x:c r="O364" s="15" t="str"/>
      <x:c r="P364" s="15" t="str"/>
      <x:c r="Q364" s="15" t="str">
        <x:v>New Solve</x:v>
      </x:c>
    </x:row>
    <x:row r="365">
      <x:c r="A365" s="15" t="n">
        <x:v>364</x:v>
      </x:c>
      <x:c r="B365" s="39" t="n">
        <x:v>46408</x:v>
      </x:c>
      <x:c r="C365" s="15" t="str">
        <x:v>Phase 3: 3/day</x:v>
      </x:c>
      <x:c r="D365" s="15" t="str">
        <x:v>Dynamic Programming</x:v>
      </x:c>
      <x:c r="E365" s="15" t="str">
        <x:v>Medium</x:v>
      </x:c>
      <x:c r="F365" s="15" t="n">
        <x:v>1130</x:v>
      </x:c>
      <x:c r="G365" s="15" t="str">
        <x:v>Minimum Cost Tree From Leaf Values</x:v>
      </x:c>
      <x:c r="H365" s="15" t="str">
        <x:v>https://leetcode.com/problems/minimum-cost-tree-from-leaf-values/</x:v>
      </x:c>
      <x:c r="I365" s="15" t="str">
        <x:v>Not Started</x:v>
      </x:c>
      <x:c r="J365" s="39"/>
      <x:c r="K365" s="39"/>
      <x:c r="L365" s="39"/>
      <x:c r="M365" s="15" t="str"/>
      <x:c r="N365" s="15" t="str"/>
      <x:c r="O365" s="15" t="str"/>
      <x:c r="P365" s="15" t="str"/>
      <x:c r="Q365" s="15" t="str">
        <x:v>New Solve</x:v>
      </x:c>
    </x:row>
    <x:row r="366">
      <x:c r="A366" s="15" t="n">
        <x:v>365</x:v>
      </x:c>
      <x:c r="B366" s="39" t="n">
        <x:v>46408</x:v>
      </x:c>
      <x:c r="C366" s="15" t="str">
        <x:v>Phase 3: 3/day</x:v>
      </x:c>
      <x:c r="D366" s="15" t="str">
        <x:v>Dynamic Programming</x:v>
      </x:c>
      <x:c r="E366" s="15" t="str">
        <x:v>Hard</x:v>
      </x:c>
      <x:c r="F366" s="15" t="n">
        <x:v>1235</x:v>
      </x:c>
      <x:c r="G366" s="15" t="str">
        <x:v>Maximum Profit in Job Scheduling</x:v>
      </x:c>
      <x:c r="H366" s="15" t="str">
        <x:v>https://leetcode.com/problems/maximum-profit-in-job-scheduling/</x:v>
      </x:c>
      <x:c r="I366" s="15" t="str">
        <x:v>Not Started</x:v>
      </x:c>
      <x:c r="J366" s="39"/>
      <x:c r="K366" s="39"/>
      <x:c r="L366" s="39"/>
      <x:c r="M366" s="15" t="str"/>
      <x:c r="N366" s="15" t="str"/>
      <x:c r="O366" s="15" t="str"/>
      <x:c r="P366" s="15" t="str"/>
      <x:c r="Q366" s="15" t="str">
        <x:v>New Solve</x:v>
      </x:c>
    </x:row>
    <x:row r="367">
      <x:c r="A367" s="15" t="n">
        <x:v>366</x:v>
      </x:c>
      <x:c r="B367" s="39" t="n">
        <x:v>46409</x:v>
      </x:c>
      <x:c r="C367" s="15" t="str">
        <x:v>Phase 3: 3/day</x:v>
      </x:c>
      <x:c r="D367" s="15" t="str">
        <x:v>Greedy / Intervals</x:v>
      </x:c>
      <x:c r="E367" s="15" t="str">
        <x:v>Medium</x:v>
      </x:c>
      <x:c r="F367" s="15" t="n">
        <x:v>55</x:v>
      </x:c>
      <x:c r="G367" s="15" t="str">
        <x:v>Jump Game</x:v>
      </x:c>
      <x:c r="H367" s="15" t="str">
        <x:v>https://leetcode.com/problems/jump-game/</x:v>
      </x:c>
      <x:c r="I367" s="15" t="str">
        <x:v>Not Started</x:v>
      </x:c>
      <x:c r="J367" s="39"/>
      <x:c r="K367" s="39"/>
      <x:c r="L367" s="39"/>
      <x:c r="M367" s="15" t="str"/>
      <x:c r="N367" s="15" t="str"/>
      <x:c r="O367" s="15" t="str"/>
      <x:c r="P367" s="15" t="str"/>
      <x:c r="Q367" s="15" t="str">
        <x:v>New Solve</x:v>
      </x:c>
    </x:row>
    <x:row r="368">
      <x:c r="A368" s="15" t="n">
        <x:v>367</x:v>
      </x:c>
      <x:c r="B368" s="39" t="n">
        <x:v>46409</x:v>
      </x:c>
      <x:c r="C368" s="15" t="str">
        <x:v>Phase 3: 3/day</x:v>
      </x:c>
      <x:c r="D368" s="15" t="str">
        <x:v>Greedy / Intervals</x:v>
      </x:c>
      <x:c r="E368" s="15" t="str">
        <x:v>Medium</x:v>
      </x:c>
      <x:c r="F368" s="15" t="n">
        <x:v>45</x:v>
      </x:c>
      <x:c r="G368" s="15" t="str">
        <x:v>Jump Game II</x:v>
      </x:c>
      <x:c r="H368" s="15" t="str">
        <x:v>https://leetcode.com/problems/jump-game-ii/</x:v>
      </x:c>
      <x:c r="I368" s="15" t="str">
        <x:v>Not Started</x:v>
      </x:c>
      <x:c r="J368" s="39"/>
      <x:c r="K368" s="39"/>
      <x:c r="L368" s="39"/>
      <x:c r="M368" s="15" t="str"/>
      <x:c r="N368" s="15" t="str"/>
      <x:c r="O368" s="15" t="str"/>
      <x:c r="P368" s="15" t="str"/>
      <x:c r="Q368" s="15" t="str">
        <x:v>New Solve</x:v>
      </x:c>
    </x:row>
    <x:row r="369">
      <x:c r="A369" s="15" t="n">
        <x:v>368</x:v>
      </x:c>
      <x:c r="B369" s="39" t="n">
        <x:v>46409</x:v>
      </x:c>
      <x:c r="C369" s="15" t="str">
        <x:v>Phase 3: 3/day</x:v>
      </x:c>
      <x:c r="D369" s="15" t="str">
        <x:v>Greedy / Intervals</x:v>
      </x:c>
      <x:c r="E369" s="15" t="str">
        <x:v>Medium</x:v>
      </x:c>
      <x:c r="F369" s="15" t="n">
        <x:v>134</x:v>
      </x:c>
      <x:c r="G369" s="15" t="str">
        <x:v>Gas Station</x:v>
      </x:c>
      <x:c r="H369" s="15" t="str">
        <x:v>https://leetcode.com/problems/gas-station/</x:v>
      </x:c>
      <x:c r="I369" s="15" t="str">
        <x:v>Not Started</x:v>
      </x:c>
      <x:c r="J369" s="39"/>
      <x:c r="K369" s="39"/>
      <x:c r="L369" s="39"/>
      <x:c r="M369" s="15" t="str"/>
      <x:c r="N369" s="15" t="str"/>
      <x:c r="O369" s="15" t="str"/>
      <x:c r="P369" s="15" t="str"/>
      <x:c r="Q369" s="15" t="str">
        <x:v>New Solve</x:v>
      </x:c>
    </x:row>
    <x:row r="370">
      <x:c r="A370" s="15" t="n">
        <x:v>369</x:v>
      </x:c>
      <x:c r="B370" s="39" t="n">
        <x:v>46410</x:v>
      </x:c>
      <x:c r="C370" s="15" t="str">
        <x:v>Phase 3: 3/day</x:v>
      </x:c>
      <x:c r="D370" s="15" t="str">
        <x:v>Greedy / Intervals</x:v>
      </x:c>
      <x:c r="E370" s="15" t="str">
        <x:v>Hard</x:v>
      </x:c>
      <x:c r="F370" s="15" t="n">
        <x:v>135</x:v>
      </x:c>
      <x:c r="G370" s="15" t="str">
        <x:v>Candy</x:v>
      </x:c>
      <x:c r="H370" s="15" t="str">
        <x:v>https://leetcode.com/problems/candy/</x:v>
      </x:c>
      <x:c r="I370" s="15" t="str">
        <x:v>Not Started</x:v>
      </x:c>
      <x:c r="J370" s="39"/>
      <x:c r="K370" s="39"/>
      <x:c r="L370" s="39"/>
      <x:c r="M370" s="15" t="str"/>
      <x:c r="N370" s="15" t="str"/>
      <x:c r="O370" s="15" t="str"/>
      <x:c r="P370" s="15" t="str"/>
      <x:c r="Q370" s="15" t="str">
        <x:v>New Solve</x:v>
      </x:c>
    </x:row>
    <x:row r="371">
      <x:c r="A371" s="15" t="n">
        <x:v>370</x:v>
      </x:c>
      <x:c r="B371" s="39" t="n">
        <x:v>46410</x:v>
      </x:c>
      <x:c r="C371" s="15" t="str">
        <x:v>Phase 3: 3/day</x:v>
      </x:c>
      <x:c r="D371" s="15" t="str">
        <x:v>Greedy / Intervals</x:v>
      </x:c>
      <x:c r="E371" s="15" t="str">
        <x:v>Medium</x:v>
      </x:c>
      <x:c r="F371" s="15" t="n">
        <x:v>435</x:v>
      </x:c>
      <x:c r="G371" s="15" t="str">
        <x:v>Non-overlapping Intervals</x:v>
      </x:c>
      <x:c r="H371" s="15" t="str">
        <x:v>https://leetcode.com/problems/non-overlapping-intervals/</x:v>
      </x:c>
      <x:c r="I371" s="15" t="str">
        <x:v>Not Started</x:v>
      </x:c>
      <x:c r="J371" s="39"/>
      <x:c r="K371" s="39"/>
      <x:c r="L371" s="39"/>
      <x:c r="M371" s="15" t="str"/>
      <x:c r="N371" s="15" t="str"/>
      <x:c r="O371" s="15" t="str"/>
      <x:c r="P371" s="15" t="str"/>
      <x:c r="Q371" s="15" t="str">
        <x:v>New Solve</x:v>
      </x:c>
    </x:row>
    <x:row r="372">
      <x:c r="A372" s="15" t="n">
        <x:v>371</x:v>
      </x:c>
      <x:c r="B372" s="39" t="n">
        <x:v>46410</x:v>
      </x:c>
      <x:c r="C372" s="15" t="str">
        <x:v>Phase 3: 3/day</x:v>
      </x:c>
      <x:c r="D372" s="15" t="str">
        <x:v>Greedy / Intervals</x:v>
      </x:c>
      <x:c r="E372" s="15" t="str">
        <x:v>Medium</x:v>
      </x:c>
      <x:c r="F372" s="15" t="n">
        <x:v>452</x:v>
      </x:c>
      <x:c r="G372" s="15" t="str">
        <x:v>Minimum Number of Arrows to Burst Balloons</x:v>
      </x:c>
      <x:c r="H372" s="15" t="str">
        <x:v>https://leetcode.com/problems/minimum-number-of-arrows-to-burst-balloons/</x:v>
      </x:c>
      <x:c r="I372" s="15" t="str">
        <x:v>Not Started</x:v>
      </x:c>
      <x:c r="J372" s="39"/>
      <x:c r="K372" s="39"/>
      <x:c r="L372" s="39"/>
      <x:c r="M372" s="15" t="str"/>
      <x:c r="N372" s="15" t="str"/>
      <x:c r="O372" s="15" t="str"/>
      <x:c r="P372" s="15" t="str"/>
      <x:c r="Q372" s="15" t="str">
        <x:v>New Solve</x:v>
      </x:c>
    </x:row>
    <x:row r="373">
      <x:c r="A373" s="15" t="n">
        <x:v>372</x:v>
      </x:c>
      <x:c r="B373" s="39" t="n">
        <x:v>46411</x:v>
      </x:c>
      <x:c r="C373" s="15" t="str">
        <x:v>Phase 3: 3/day</x:v>
      </x:c>
      <x:c r="D373" s="15" t="str">
        <x:v>Greedy / Intervals</x:v>
      </x:c>
      <x:c r="E373" s="15" t="str">
        <x:v>Medium</x:v>
      </x:c>
      <x:c r="F373" s="15" t="n">
        <x:v>763</x:v>
      </x:c>
      <x:c r="G373" s="15" t="str">
        <x:v>Partition Labels</x:v>
      </x:c>
      <x:c r="H373" s="15" t="str">
        <x:v>https://leetcode.com/problems/partition-labels/</x:v>
      </x:c>
      <x:c r="I373" s="15" t="str">
        <x:v>Not Started</x:v>
      </x:c>
      <x:c r="J373" s="39"/>
      <x:c r="K373" s="39"/>
      <x:c r="L373" s="39"/>
      <x:c r="M373" s="15" t="str"/>
      <x:c r="N373" s="15" t="str"/>
      <x:c r="O373" s="15" t="str"/>
      <x:c r="P373" s="15" t="str"/>
      <x:c r="Q373" s="15" t="str">
        <x:v>New Solve</x:v>
      </x:c>
    </x:row>
    <x:row r="374">
      <x:c r="A374" s="15" t="n">
        <x:v>373</x:v>
      </x:c>
      <x:c r="B374" s="39" t="n">
        <x:v>46411</x:v>
      </x:c>
      <x:c r="C374" s="15" t="str">
        <x:v>Phase 3: 3/day</x:v>
      </x:c>
      <x:c r="D374" s="15" t="str">
        <x:v>Greedy / Intervals</x:v>
      </x:c>
      <x:c r="E374" s="15" t="str">
        <x:v>Medium</x:v>
      </x:c>
      <x:c r="F374" s="15" t="n">
        <x:v>621</x:v>
      </x:c>
      <x:c r="G374" s="15" t="str">
        <x:v>Task Scheduler</x:v>
      </x:c>
      <x:c r="H374" s="15" t="str">
        <x:v>https://leetcode.com/problems/task-scheduler/</x:v>
      </x:c>
      <x:c r="I374" s="15" t="str">
        <x:v>Not Started</x:v>
      </x:c>
      <x:c r="J374" s="39"/>
      <x:c r="K374" s="39"/>
      <x:c r="L374" s="39"/>
      <x:c r="M374" s="15" t="str"/>
      <x:c r="N374" s="15" t="str"/>
      <x:c r="O374" s="15" t="str"/>
      <x:c r="P374" s="15" t="str"/>
      <x:c r="Q374" s="15" t="str">
        <x:v>New Solve</x:v>
      </x:c>
    </x:row>
    <x:row r="375">
      <x:c r="A375" s="15" t="n">
        <x:v>374</x:v>
      </x:c>
      <x:c r="B375" s="39" t="n">
        <x:v>46411</x:v>
      </x:c>
      <x:c r="C375" s="15" t="str">
        <x:v>Phase 3: 3/day</x:v>
      </x:c>
      <x:c r="D375" s="15" t="str">
        <x:v>Greedy / Intervals</x:v>
      </x:c>
      <x:c r="E375" s="15" t="str">
        <x:v>Easy</x:v>
      </x:c>
      <x:c r="F375" s="15" t="n">
        <x:v>455</x:v>
      </x:c>
      <x:c r="G375" s="15" t="str">
        <x:v>Assign Cookies</x:v>
      </x:c>
      <x:c r="H375" s="15" t="str">
        <x:v>https://leetcode.com/problems/assign-cookies/</x:v>
      </x:c>
      <x:c r="I375" s="15" t="str">
        <x:v>Not Started</x:v>
      </x:c>
      <x:c r="J375" s="39"/>
      <x:c r="K375" s="39"/>
      <x:c r="L375" s="39"/>
      <x:c r="M375" s="15" t="str"/>
      <x:c r="N375" s="15" t="str"/>
      <x:c r="O375" s="15" t="str"/>
      <x:c r="P375" s="15" t="str"/>
      <x:c r="Q375" s="15" t="str">
        <x:v>New Solve</x:v>
      </x:c>
    </x:row>
    <x:row r="376">
      <x:c r="A376" s="15" t="n">
        <x:v>375</x:v>
      </x:c>
      <x:c r="B376" s="39" t="n">
        <x:v>46412</x:v>
      </x:c>
      <x:c r="C376" s="15" t="str">
        <x:v>Phase 3: 3/day</x:v>
      </x:c>
      <x:c r="D376" s="15" t="str">
        <x:v>Greedy / Intervals</x:v>
      </x:c>
      <x:c r="E376" s="15" t="str">
        <x:v>Easy</x:v>
      </x:c>
      <x:c r="F376" s="15" t="n">
        <x:v>860</x:v>
      </x:c>
      <x:c r="G376" s="15" t="str">
        <x:v>Lemonade Change</x:v>
      </x:c>
      <x:c r="H376" s="15" t="str">
        <x:v>https://leetcode.com/problems/lemonade-change/</x:v>
      </x:c>
      <x:c r="I376" s="15" t="str">
        <x:v>Not Started</x:v>
      </x:c>
      <x:c r="J376" s="39"/>
      <x:c r="K376" s="39"/>
      <x:c r="L376" s="39"/>
      <x:c r="M376" s="15" t="str"/>
      <x:c r="N376" s="15" t="str"/>
      <x:c r="O376" s="15" t="str"/>
      <x:c r="P376" s="15" t="str"/>
      <x:c r="Q376" s="15" t="str">
        <x:v>New Solve</x:v>
      </x:c>
    </x:row>
    <x:row r="377">
      <x:c r="A377" s="15" t="n">
        <x:v>376</x:v>
      </x:c>
      <x:c r="B377" s="39" t="n">
        <x:v>46412</x:v>
      </x:c>
      <x:c r="C377" s="15" t="str">
        <x:v>Phase 3: 3/day</x:v>
      </x:c>
      <x:c r="D377" s="15" t="str">
        <x:v>Greedy / Intervals</x:v>
      </x:c>
      <x:c r="E377" s="15" t="str">
        <x:v>Easy</x:v>
      </x:c>
      <x:c r="F377" s="15" t="n">
        <x:v>942</x:v>
      </x:c>
      <x:c r="G377" s="15" t="str">
        <x:v>DI String Match</x:v>
      </x:c>
      <x:c r="H377" s="15" t="str">
        <x:v>https://leetcode.com/problems/di-string-match/</x:v>
      </x:c>
      <x:c r="I377" s="15" t="str">
        <x:v>Not Started</x:v>
      </x:c>
      <x:c r="J377" s="39"/>
      <x:c r="K377" s="39"/>
      <x:c r="L377" s="39"/>
      <x:c r="M377" s="15" t="str"/>
      <x:c r="N377" s="15" t="str"/>
      <x:c r="O377" s="15" t="str"/>
      <x:c r="P377" s="15" t="str"/>
      <x:c r="Q377" s="15" t="str">
        <x:v>New Solve</x:v>
      </x:c>
    </x:row>
    <x:row r="378">
      <x:c r="A378" s="15" t="n">
        <x:v>377</x:v>
      </x:c>
      <x:c r="B378" s="39" t="n">
        <x:v>46412</x:v>
      </x:c>
      <x:c r="C378" s="15" t="str">
        <x:v>Phase 3: 3/day</x:v>
      </x:c>
      <x:c r="D378" s="15" t="str">
        <x:v>Greedy / Intervals</x:v>
      </x:c>
      <x:c r="E378" s="15" t="str">
        <x:v>Easy</x:v>
      </x:c>
      <x:c r="F378" s="15" t="n">
        <x:v>1005</x:v>
      </x:c>
      <x:c r="G378" s="15" t="str">
        <x:v>Maximize Sum Of Array After K Negations</x:v>
      </x:c>
      <x:c r="H378" s="15" t="str">
        <x:v>https://leetcode.com/problems/maximize-sum-of-array-after-k-negations/</x:v>
      </x:c>
      <x:c r="I378" s="15" t="str">
        <x:v>Not Started</x:v>
      </x:c>
      <x:c r="J378" s="39"/>
      <x:c r="K378" s="39"/>
      <x:c r="L378" s="39"/>
      <x:c r="M378" s="15" t="str"/>
      <x:c r="N378" s="15" t="str"/>
      <x:c r="O378" s="15" t="str"/>
      <x:c r="P378" s="15" t="str"/>
      <x:c r="Q378" s="15" t="str">
        <x:v>New Solve</x:v>
      </x:c>
    </x:row>
    <x:row r="379">
      <x:c r="A379" s="15" t="n">
        <x:v>378</x:v>
      </x:c>
      <x:c r="B379" s="39" t="n">
        <x:v>46413</x:v>
      </x:c>
      <x:c r="C379" s="15" t="str">
        <x:v>Phase 3: 3/day</x:v>
      </x:c>
      <x:c r="D379" s="15" t="str">
        <x:v>Greedy / Intervals</x:v>
      </x:c>
      <x:c r="E379" s="15" t="str">
        <x:v>Medium</x:v>
      </x:c>
      <x:c r="F379" s="15" t="n">
        <x:v>1029</x:v>
      </x:c>
      <x:c r="G379" s="15" t="str">
        <x:v>Two City Scheduling</x:v>
      </x:c>
      <x:c r="H379" s="15" t="str">
        <x:v>https://leetcode.com/problems/two-city-scheduling/</x:v>
      </x:c>
      <x:c r="I379" s="15" t="str">
        <x:v>Not Started</x:v>
      </x:c>
      <x:c r="J379" s="39"/>
      <x:c r="K379" s="39"/>
      <x:c r="L379" s="39"/>
      <x:c r="M379" s="15" t="str"/>
      <x:c r="N379" s="15" t="str"/>
      <x:c r="O379" s="15" t="str"/>
      <x:c r="P379" s="15" t="str"/>
      <x:c r="Q379" s="15" t="str">
        <x:v>New Solve</x:v>
      </x:c>
    </x:row>
    <x:row r="380">
      <x:c r="A380" s="15" t="n">
        <x:v>379</x:v>
      </x:c>
      <x:c r="B380" s="39" t="n">
        <x:v>46413</x:v>
      </x:c>
      <x:c r="C380" s="15" t="str">
        <x:v>Phase 3: 3/day</x:v>
      </x:c>
      <x:c r="D380" s="15" t="str">
        <x:v>Greedy / Intervals</x:v>
      </x:c>
      <x:c r="E380" s="15" t="str">
        <x:v>Easy</x:v>
      </x:c>
      <x:c r="F380" s="15" t="n">
        <x:v>1196</x:v>
      </x:c>
      <x:c r="G380" s="15" t="str">
        <x:v>How Many Apples Can You Put into the Basket</x:v>
      </x:c>
      <x:c r="H380" s="15" t="str">
        <x:v>https://leetcode.com/problems/how-many-apples-can-you-put-into-the-basket/</x:v>
      </x:c>
      <x:c r="I380" s="15" t="str">
        <x:v>Not Started</x:v>
      </x:c>
      <x:c r="J380" s="39"/>
      <x:c r="K380" s="39"/>
      <x:c r="L380" s="39"/>
      <x:c r="M380" s="15" t="str"/>
      <x:c r="N380" s="15" t="str"/>
      <x:c r="O380" s="15" t="str"/>
      <x:c r="P380" s="15" t="str"/>
      <x:c r="Q380" s="15" t="str">
        <x:v>New Solve</x:v>
      </x:c>
    </x:row>
    <x:row r="381">
      <x:c r="A381" s="15" t="n">
        <x:v>380</x:v>
      </x:c>
      <x:c r="B381" s="39" t="n">
        <x:v>46413</x:v>
      </x:c>
      <x:c r="C381" s="15" t="str">
        <x:v>Phase 3: 3/day</x:v>
      </x:c>
      <x:c r="D381" s="15" t="str">
        <x:v>Greedy / Intervals</x:v>
      </x:c>
      <x:c r="E381" s="15" t="str">
        <x:v>Easy</x:v>
      </x:c>
      <x:c r="F381" s="15" t="n">
        <x:v>1403</x:v>
      </x:c>
      <x:c r="G381" s="15" t="str">
        <x:v>Minimum Subsequence in Non-Increasing Order</x:v>
      </x:c>
      <x:c r="H381" s="15" t="str">
        <x:v>https://leetcode.com/problems/minimum-subsequence-in-non-increasing-order/</x:v>
      </x:c>
      <x:c r="I381" s="15" t="str">
        <x:v>Not Started</x:v>
      </x:c>
      <x:c r="J381" s="39"/>
      <x:c r="K381" s="39"/>
      <x:c r="L381" s="39"/>
      <x:c r="M381" s="15" t="str"/>
      <x:c r="N381" s="15" t="str"/>
      <x:c r="O381" s="15" t="str"/>
      <x:c r="P381" s="15" t="str"/>
      <x:c r="Q381" s="15" t="str">
        <x:v>New Solve</x:v>
      </x:c>
    </x:row>
    <x:row r="382">
      <x:c r="A382" s="15" t="n">
        <x:v>381</x:v>
      </x:c>
      <x:c r="B382" s="39" t="n">
        <x:v>46414</x:v>
      </x:c>
      <x:c r="C382" s="15" t="str">
        <x:v>Phase 3: 3/day</x:v>
      </x:c>
      <x:c r="D382" s="15" t="str">
        <x:v>Greedy / Intervals</x:v>
      </x:c>
      <x:c r="E382" s="15" t="str">
        <x:v>Medium</x:v>
      </x:c>
      <x:c r="F382" s="15" t="n">
        <x:v>1561</x:v>
      </x:c>
      <x:c r="G382" s="15" t="str">
        <x:v>Maximum Number of Coins You Can Get</x:v>
      </x:c>
      <x:c r="H382" s="15" t="str">
        <x:v>https://leetcode.com/problems/maximum-number-of-coins-you-can-get/</x:v>
      </x:c>
      <x:c r="I382" s="15" t="str">
        <x:v>Not Started</x:v>
      </x:c>
      <x:c r="J382" s="39"/>
      <x:c r="K382" s="39"/>
      <x:c r="L382" s="39"/>
      <x:c r="M382" s="15" t="str"/>
      <x:c r="N382" s="15" t="str"/>
      <x:c r="O382" s="15" t="str"/>
      <x:c r="P382" s="15" t="str"/>
      <x:c r="Q382" s="15" t="str">
        <x:v>New Solve</x:v>
      </x:c>
    </x:row>
    <x:row r="383">
      <x:c r="A383" s="15" t="n">
        <x:v>382</x:v>
      </x:c>
      <x:c r="B383" s="39" t="n">
        <x:v>46414</x:v>
      </x:c>
      <x:c r="C383" s="15" t="str">
        <x:v>Phase 3: 3/day</x:v>
      </x:c>
      <x:c r="D383" s="15" t="str">
        <x:v>Greedy / Intervals</x:v>
      </x:c>
      <x:c r="E383" s="15" t="str">
        <x:v>Easy</x:v>
      </x:c>
      <x:c r="F383" s="15" t="n">
        <x:v>1710</x:v>
      </x:c>
      <x:c r="G383" s="15" t="str">
        <x:v>Maximum Units on a Truck</x:v>
      </x:c>
      <x:c r="H383" s="15" t="str">
        <x:v>https://leetcode.com/problems/maximum-units-on-a-truck/</x:v>
      </x:c>
      <x:c r="I383" s="15" t="str">
        <x:v>Not Started</x:v>
      </x:c>
      <x:c r="J383" s="39"/>
      <x:c r="K383" s="39"/>
      <x:c r="L383" s="39"/>
      <x:c r="M383" s="15" t="str"/>
      <x:c r="N383" s="15" t="str"/>
      <x:c r="O383" s="15" t="str"/>
      <x:c r="P383" s="15" t="str"/>
      <x:c r="Q383" s="15" t="str">
        <x:v>New Solve</x:v>
      </x:c>
    </x:row>
    <x:row r="384">
      <x:c r="A384" s="15" t="n">
        <x:v>383</x:v>
      </x:c>
      <x:c r="B384" s="39" t="n">
        <x:v>46414</x:v>
      </x:c>
      <x:c r="C384" s="15" t="str">
        <x:v>Phase 3: 3/day</x:v>
      </x:c>
      <x:c r="D384" s="15" t="str">
        <x:v>Greedy / Intervals</x:v>
      </x:c>
      <x:c r="E384" s="15" t="str">
        <x:v>Medium</x:v>
      </x:c>
      <x:c r="F384" s="15" t="n">
        <x:v>1833</x:v>
      </x:c>
      <x:c r="G384" s="15" t="str">
        <x:v>Maximum Ice Cream Bars</x:v>
      </x:c>
      <x:c r="H384" s="15" t="str">
        <x:v>https://leetcode.com/problems/maximum-ice-cream-bars/</x:v>
      </x:c>
      <x:c r="I384" s="15" t="str">
        <x:v>Not Started</x:v>
      </x:c>
      <x:c r="J384" s="39"/>
      <x:c r="K384" s="39"/>
      <x:c r="L384" s="39"/>
      <x:c r="M384" s="15" t="str"/>
      <x:c r="N384" s="15" t="str"/>
      <x:c r="O384" s="15" t="str"/>
      <x:c r="P384" s="15" t="str"/>
      <x:c r="Q384" s="15" t="str">
        <x:v>New Solve</x:v>
      </x:c>
    </x:row>
    <x:row r="385">
      <x:c r="A385" s="15" t="n">
        <x:v>384</x:v>
      </x:c>
      <x:c r="B385" s="39" t="n">
        <x:v>46415</x:v>
      </x:c>
      <x:c r="C385" s="15" t="str">
        <x:v>Phase 3: 3/day</x:v>
      </x:c>
      <x:c r="D385" s="15" t="str">
        <x:v>Greedy / Intervals</x:v>
      </x:c>
      <x:c r="E385" s="15" t="str">
        <x:v>Medium</x:v>
      </x:c>
      <x:c r="F385" s="15" t="n">
        <x:v>1899</x:v>
      </x:c>
      <x:c r="G385" s="15" t="str">
        <x:v>Merge Triplets to Form Target Triplet</x:v>
      </x:c>
      <x:c r="H385" s="15" t="str">
        <x:v>https://leetcode.com/problems/merge-triplets-to-form-target-triplet/</x:v>
      </x:c>
      <x:c r="I385" s="15" t="str">
        <x:v>Not Started</x:v>
      </x:c>
      <x:c r="J385" s="39"/>
      <x:c r="K385" s="39"/>
      <x:c r="L385" s="39"/>
      <x:c r="M385" s="15" t="str"/>
      <x:c r="N385" s="15" t="str"/>
      <x:c r="O385" s="15" t="str"/>
      <x:c r="P385" s="15" t="str"/>
      <x:c r="Q385" s="15" t="str">
        <x:v>New Solve</x:v>
      </x:c>
    </x:row>
    <x:row r="386">
      <x:c r="A386" s="15" t="n">
        <x:v>385</x:v>
      </x:c>
      <x:c r="B386" s="39" t="n">
        <x:v>46415</x:v>
      </x:c>
      <x:c r="C386" s="15" t="str">
        <x:v>Phase 3: 3/day</x:v>
      </x:c>
      <x:c r="D386" s="15" t="str">
        <x:v>Greedy / Intervals</x:v>
      </x:c>
      <x:c r="E386" s="15" t="str">
        <x:v>Easy</x:v>
      </x:c>
      <x:c r="F386" s="15" t="n">
        <x:v>1903</x:v>
      </x:c>
      <x:c r="G386" s="15" t="str">
        <x:v>Largest Odd Number in String</x:v>
      </x:c>
      <x:c r="H386" s="15" t="str">
        <x:v>https://leetcode.com/problems/largest-odd-number-in-string/</x:v>
      </x:c>
      <x:c r="I386" s="15" t="str">
        <x:v>Not Started</x:v>
      </x:c>
      <x:c r="J386" s="39"/>
      <x:c r="K386" s="39"/>
      <x:c r="L386" s="39"/>
      <x:c r="M386" s="15" t="str"/>
      <x:c r="N386" s="15" t="str"/>
      <x:c r="O386" s="15" t="str"/>
      <x:c r="P386" s="15" t="str"/>
      <x:c r="Q386" s="15" t="str">
        <x:v>New Solve</x:v>
      </x:c>
    </x:row>
    <x:row r="387">
      <x:c r="A387" s="15" t="n">
        <x:v>386</x:v>
      </x:c>
      <x:c r="B387" s="39" t="n">
        <x:v>46415</x:v>
      </x:c>
      <x:c r="C387" s="15" t="str">
        <x:v>Phase 3: 3/day</x:v>
      </x:c>
      <x:c r="D387" s="15" t="str">
        <x:v>Greedy / Intervals</x:v>
      </x:c>
      <x:c r="E387" s="15" t="str">
        <x:v>Easy</x:v>
      </x:c>
      <x:c r="F387" s="15" t="n">
        <x:v>2037</x:v>
      </x:c>
      <x:c r="G387" s="15" t="str">
        <x:v>Minimum Number of Moves to Seat Everyone</x:v>
      </x:c>
      <x:c r="H387" s="15" t="str">
        <x:v>https://leetcode.com/problems/minimum-number-of-moves-to-seat-everyone/</x:v>
      </x:c>
      <x:c r="I387" s="15" t="str">
        <x:v>Not Started</x:v>
      </x:c>
      <x:c r="J387" s="39"/>
      <x:c r="K387" s="39"/>
      <x:c r="L387" s="39"/>
      <x:c r="M387" s="15" t="str"/>
      <x:c r="N387" s="15" t="str"/>
      <x:c r="O387" s="15" t="str"/>
      <x:c r="P387" s="15" t="str"/>
      <x:c r="Q387" s="15" t="str">
        <x:v>New Solve</x:v>
      </x:c>
    </x:row>
    <x:row r="388">
      <x:c r="A388" s="15" t="n">
        <x:v>387</x:v>
      </x:c>
      <x:c r="B388" s="39" t="n">
        <x:v>46416</x:v>
      </x:c>
      <x:c r="C388" s="15" t="str">
        <x:v>Phase 3: 3/day</x:v>
      </x:c>
      <x:c r="D388" s="15" t="str">
        <x:v>Greedy / Intervals</x:v>
      </x:c>
      <x:c r="E388" s="15" t="str">
        <x:v>Easy</x:v>
      </x:c>
      <x:c r="F388" s="15" t="n">
        <x:v>2144</x:v>
      </x:c>
      <x:c r="G388" s="15" t="str">
        <x:v>Minimum Cost of Buying Candies With Discount</x:v>
      </x:c>
      <x:c r="H388" s="15" t="str">
        <x:v>https://leetcode.com/problems/minimum-cost-of-buying-candies-with-discount/</x:v>
      </x:c>
      <x:c r="I388" s="15" t="str">
        <x:v>Not Started</x:v>
      </x:c>
      <x:c r="J388" s="39"/>
      <x:c r="K388" s="39"/>
      <x:c r="L388" s="39"/>
      <x:c r="M388" s="15" t="str"/>
      <x:c r="N388" s="15" t="str"/>
      <x:c r="O388" s="15" t="str"/>
      <x:c r="P388" s="15" t="str"/>
      <x:c r="Q388" s="15" t="str">
        <x:v>New Solve</x:v>
      </x:c>
    </x:row>
    <x:row r="389">
      <x:c r="A389" s="15" t="n">
        <x:v>388</x:v>
      </x:c>
      <x:c r="B389" s="39" t="n">
        <x:v>46416</x:v>
      </x:c>
      <x:c r="C389" s="15" t="str">
        <x:v>Phase 3: 3/day</x:v>
      </x:c>
      <x:c r="D389" s="15" t="str">
        <x:v>Greedy / Intervals</x:v>
      </x:c>
      <x:c r="E389" s="15" t="str">
        <x:v>Easy</x:v>
      </x:c>
      <x:c r="F389" s="15" t="n">
        <x:v>2160</x:v>
      </x:c>
      <x:c r="G389" s="15" t="str">
        <x:v>Minimum Sum of Four Digit Number After Splitting Digits</x:v>
      </x:c>
      <x:c r="H389" s="15" t="str">
        <x:v>https://leetcode.com/problems/minimum-sum-of-four-digit-number-after-splitting-digits/</x:v>
      </x:c>
      <x:c r="I389" s="15" t="str">
        <x:v>Not Started</x:v>
      </x:c>
      <x:c r="J389" s="39"/>
      <x:c r="K389" s="39"/>
      <x:c r="L389" s="39"/>
      <x:c r="M389" s="15" t="str"/>
      <x:c r="N389" s="15" t="str"/>
      <x:c r="O389" s="15" t="str"/>
      <x:c r="P389" s="15" t="str"/>
      <x:c r="Q389" s="15" t="str">
        <x:v>New Solve</x:v>
      </x:c>
    </x:row>
    <x:row r="390">
      <x:c r="A390" s="15" t="n">
        <x:v>389</x:v>
      </x:c>
      <x:c r="B390" s="39" t="n">
        <x:v>46416</x:v>
      </x:c>
      <x:c r="C390" s="15" t="str">
        <x:v>Phase 3: 3/day</x:v>
      </x:c>
      <x:c r="D390" s="15" t="str">
        <x:v>Greedy / Intervals</x:v>
      </x:c>
      <x:c r="E390" s="15" t="str">
        <x:v>Easy</x:v>
      </x:c>
      <x:c r="F390" s="15" t="n">
        <x:v>2264</x:v>
      </x:c>
      <x:c r="G390" s="15" t="str">
        <x:v>Largest 3-Same-Digit Number in String</x:v>
      </x:c>
      <x:c r="H390" s="15" t="str">
        <x:v>https://leetcode.com/problems/largest-3-same-digit-number-in-string/</x:v>
      </x:c>
      <x:c r="I390" s="15" t="str">
        <x:v>Not Started</x:v>
      </x:c>
      <x:c r="J390" s="39"/>
      <x:c r="K390" s="39"/>
      <x:c r="L390" s="39"/>
      <x:c r="M390" s="15" t="str"/>
      <x:c r="N390" s="15" t="str"/>
      <x:c r="O390" s="15" t="str"/>
      <x:c r="P390" s="15" t="str"/>
      <x:c r="Q390" s="15" t="str">
        <x:v>New Solve</x:v>
      </x:c>
    </x:row>
    <x:row r="391">
      <x:c r="A391" s="15" t="n">
        <x:v>390</x:v>
      </x:c>
      <x:c r="B391" s="39" t="n">
        <x:v>46417</x:v>
      </x:c>
      <x:c r="C391" s="15" t="str">
        <x:v>Phase 3: 3/day</x:v>
      </x:c>
      <x:c r="D391" s="15" t="str">
        <x:v>Greedy / Intervals</x:v>
      </x:c>
      <x:c r="E391" s="15" t="str">
        <x:v>Medium</x:v>
      </x:c>
      <x:c r="F391" s="15" t="n">
        <x:v>2279</x:v>
      </x:c>
      <x:c r="G391" s="15" t="str">
        <x:v>Maximum Bags With Full Capacity of Rocks</x:v>
      </x:c>
      <x:c r="H391" s="15" t="str">
        <x:v>https://leetcode.com/problems/maximum-bags-with-full-capacity-of-rocks/</x:v>
      </x:c>
      <x:c r="I391" s="15" t="str">
        <x:v>Not Started</x:v>
      </x:c>
      <x:c r="J391" s="39"/>
      <x:c r="K391" s="39"/>
      <x:c r="L391" s="39"/>
      <x:c r="M391" s="15" t="str"/>
      <x:c r="N391" s="15" t="str"/>
      <x:c r="O391" s="15" t="str"/>
      <x:c r="P391" s="15" t="str"/>
      <x:c r="Q391" s="15" t="str">
        <x:v>New Solve</x:v>
      </x:c>
    </x:row>
    <x:row r="392">
      <x:c r="A392" s="15" t="n">
        <x:v>391</x:v>
      </x:c>
      <x:c r="B392" s="39" t="n">
        <x:v>46417</x:v>
      </x:c>
      <x:c r="C392" s="15" t="str">
        <x:v>Phase 3: 3/day</x:v>
      </x:c>
      <x:c r="D392" s="15" t="str">
        <x:v>Greedy / Intervals</x:v>
      </x:c>
      <x:c r="E392" s="15" t="str">
        <x:v>Medium</x:v>
      </x:c>
      <x:c r="F392" s="15" t="n">
        <x:v>2294</x:v>
      </x:c>
      <x:c r="G392" s="15" t="str">
        <x:v>Partition Array Such That Maximum Difference Is K</x:v>
      </x:c>
      <x:c r="H392" s="15" t="str">
        <x:v>https://leetcode.com/problems/partition-array-such-that-maximum-difference-is-k/</x:v>
      </x:c>
      <x:c r="I392" s="15" t="str">
        <x:v>Not Started</x:v>
      </x:c>
      <x:c r="J392" s="39"/>
      <x:c r="K392" s="39"/>
      <x:c r="L392" s="39"/>
      <x:c r="M392" s="15" t="str"/>
      <x:c r="N392" s="15" t="str"/>
      <x:c r="O392" s="15" t="str"/>
      <x:c r="P392" s="15" t="str"/>
      <x:c r="Q392" s="15" t="str">
        <x:v>New Solve</x:v>
      </x:c>
    </x:row>
    <x:row r="393">
      <x:c r="A393" s="15" t="n">
        <x:v>392</x:v>
      </x:c>
      <x:c r="B393" s="39" t="n">
        <x:v>46417</x:v>
      </x:c>
      <x:c r="C393" s="15" t="str">
        <x:v>Phase 3: 3/day</x:v>
      </x:c>
      <x:c r="D393" s="15" t="str">
        <x:v>Greedy / Intervals</x:v>
      </x:c>
      <x:c r="E393" s="15" t="str">
        <x:v>Easy</x:v>
      </x:c>
      <x:c r="F393" s="15" t="n">
        <x:v>2367</x:v>
      </x:c>
      <x:c r="G393" s="15" t="str">
        <x:v>Number of Arithmetic Triplets</x:v>
      </x:c>
      <x:c r="H393" s="15" t="str">
        <x:v>https://leetcode.com/problems/number-of-arithmetic-triplets/</x:v>
      </x:c>
      <x:c r="I393" s="15" t="str">
        <x:v>Not Started</x:v>
      </x:c>
      <x:c r="J393" s="39"/>
      <x:c r="K393" s="39"/>
      <x:c r="L393" s="39"/>
      <x:c r="M393" s="15" t="str"/>
      <x:c r="N393" s="15" t="str"/>
      <x:c r="O393" s="15" t="str"/>
      <x:c r="P393" s="15" t="str"/>
      <x:c r="Q393" s="15" t="str">
        <x:v>New Solve</x:v>
      </x:c>
    </x:row>
    <x:row r="394">
      <x:c r="A394" s="15" t="n">
        <x:v>393</x:v>
      </x:c>
      <x:c r="B394" s="39" t="n">
        <x:v>46418</x:v>
      </x:c>
      <x:c r="C394" s="15" t="str">
        <x:v>Phase 3: 3/day</x:v>
      </x:c>
      <x:c r="D394" s="15" t="str">
        <x:v>Greedy / Intervals</x:v>
      </x:c>
      <x:c r="E394" s="15" t="str">
        <x:v>Easy</x:v>
      </x:c>
      <x:c r="F394" s="15" t="n">
        <x:v>2418</x:v>
      </x:c>
      <x:c r="G394" s="15" t="str">
        <x:v>Sort the People</x:v>
      </x:c>
      <x:c r="H394" s="15" t="str">
        <x:v>https://leetcode.com/problems/sort-the-people/</x:v>
      </x:c>
      <x:c r="I394" s="15" t="str">
        <x:v>Not Started</x:v>
      </x:c>
      <x:c r="J394" s="39"/>
      <x:c r="K394" s="39"/>
      <x:c r="L394" s="39"/>
      <x:c r="M394" s="15" t="str"/>
      <x:c r="N394" s="15" t="str"/>
      <x:c r="O394" s="15" t="str"/>
      <x:c r="P394" s="15" t="str"/>
      <x:c r="Q394" s="15" t="str">
        <x:v>New Solve</x:v>
      </x:c>
    </x:row>
    <x:row r="395">
      <x:c r="A395" s="15" t="n">
        <x:v>394</x:v>
      </x:c>
      <x:c r="B395" s="39" t="n">
        <x:v>46418</x:v>
      </x:c>
      <x:c r="C395" s="15" t="str">
        <x:v>Phase 3: 3/day</x:v>
      </x:c>
      <x:c r="D395" s="15" t="str">
        <x:v>Greedy / Intervals</x:v>
      </x:c>
      <x:c r="E395" s="15" t="str">
        <x:v>Easy</x:v>
      </x:c>
      <x:c r="F395" s="15" t="n">
        <x:v>2441</x:v>
      </x:c>
      <x:c r="G395" s="15" t="str">
        <x:v>Largest Positive Integer That Exists With Its Negative</x:v>
      </x:c>
      <x:c r="H395" s="15" t="str">
        <x:v>https://leetcode.com/problems/largest-positive-integer-that-exists-with-its-negative/</x:v>
      </x:c>
      <x:c r="I395" s="15" t="str">
        <x:v>Not Started</x:v>
      </x:c>
      <x:c r="J395" s="39"/>
      <x:c r="K395" s="39"/>
      <x:c r="L395" s="39"/>
      <x:c r="M395" s="15" t="str"/>
      <x:c r="N395" s="15" t="str"/>
      <x:c r="O395" s="15" t="str"/>
      <x:c r="P395" s="15" t="str"/>
      <x:c r="Q395" s="15" t="str">
        <x:v>New Solve</x:v>
      </x:c>
    </x:row>
    <x:row r="396">
      <x:c r="A396" s="15" t="n">
        <x:v>395</x:v>
      </x:c>
      <x:c r="B396" s="39" t="n">
        <x:v>46418</x:v>
      </x:c>
      <x:c r="C396" s="15" t="str">
        <x:v>Phase 3: 3/day</x:v>
      </x:c>
      <x:c r="D396" s="15" t="str">
        <x:v>Greedy / Intervals</x:v>
      </x:c>
      <x:c r="E396" s="15" t="str">
        <x:v>Easy</x:v>
      </x:c>
      <x:c r="F396" s="15" t="n">
        <x:v>2540</x:v>
      </x:c>
      <x:c r="G396" s="15" t="str">
        <x:v>Minimum Common Value</x:v>
      </x:c>
      <x:c r="H396" s="15" t="str">
        <x:v>https://leetcode.com/problems/minimum-common-value/</x:v>
      </x:c>
      <x:c r="I396" s="15" t="str">
        <x:v>Not Started</x:v>
      </x:c>
      <x:c r="J396" s="39"/>
      <x:c r="K396" s="39"/>
      <x:c r="L396" s="39"/>
      <x:c r="M396" s="15" t="str"/>
      <x:c r="N396" s="15" t="str"/>
      <x:c r="O396" s="15" t="str"/>
      <x:c r="P396" s="15" t="str"/>
      <x:c r="Q396" s="15" t="str">
        <x:v>New Solve</x:v>
      </x:c>
    </x:row>
    <x:row r="397">
      <x:c r="A397" s="15" t="n">
        <x:v>396</x:v>
      </x:c>
      <x:c r="B397" s="39"/>
      <x:c r="C397" s="15" t="str">
        <x:v>Already solved - revise</x:v>
      </x:c>
      <x:c r="D397" s="15" t="str">
        <x:v>Heap / Priority Queue</x:v>
      </x:c>
      <x:c r="E397" s="15" t="str">
        <x:v>Medium</x:v>
      </x:c>
      <x:c r="F397" s="15" t="n">
        <x:v>215</x:v>
      </x:c>
      <x:c r="G397" s="15" t="str">
        <x:v>Kth Largest Element in an Array</x:v>
      </x:c>
      <x:c r="H397" s="15" t="str">
        <x:v>https://leetcode.com/problems/kth-largest-element-in-an-array/</x:v>
      </x:c>
      <x:c r="I397" s="15" t="str">
        <x:v>Done</x:v>
      </x:c>
      <x:c r="J397" s="39"/>
      <x:c r="K397" s="39"/>
      <x:c r="L397" s="39"/>
      <x:c r="M397" s="15" t="str"/>
      <x:c r="N397" s="15" t="str"/>
      <x:c r="O397" s="15" t="str"/>
      <x:c r="P397" s="15" t="str"/>
      <x:c r="Q397" s="15" t="str">
        <x:v>Revision / Confirmed</x:v>
      </x:c>
    </x:row>
    <x:row r="398">
      <x:c r="A398" s="15" t="n">
        <x:v>397</x:v>
      </x:c>
      <x:c r="B398" s="39" t="n">
        <x:v>46419</x:v>
      </x:c>
      <x:c r="C398" s="15" t="str">
        <x:v>Phase 3: 3/day</x:v>
      </x:c>
      <x:c r="D398" s="15" t="str">
        <x:v>Heap / Priority Queue</x:v>
      </x:c>
      <x:c r="E398" s="15" t="str">
        <x:v>Easy</x:v>
      </x:c>
      <x:c r="F398" s="15" t="n">
        <x:v>703</x:v>
      </x:c>
      <x:c r="G398" s="15" t="str">
        <x:v>Kth Largest Element in a Stream</x:v>
      </x:c>
      <x:c r="H398" s="15" t="str">
        <x:v>https://leetcode.com/problems/kth-largest-element-in-a-stream/</x:v>
      </x:c>
      <x:c r="I398" s="15" t="str">
        <x:v>Not Started</x:v>
      </x:c>
      <x:c r="J398" s="39"/>
      <x:c r="K398" s="39"/>
      <x:c r="L398" s="39"/>
      <x:c r="M398" s="15" t="str"/>
      <x:c r="N398" s="15" t="str"/>
      <x:c r="O398" s="15" t="str"/>
      <x:c r="P398" s="15" t="str"/>
      <x:c r="Q398" s="15" t="str">
        <x:v>New Solve</x:v>
      </x:c>
    </x:row>
    <x:row r="399">
      <x:c r="A399" s="15" t="n">
        <x:v>398</x:v>
      </x:c>
      <x:c r="B399" s="39" t="n">
        <x:v>46419</x:v>
      </x:c>
      <x:c r="C399" s="15" t="str">
        <x:v>Phase 3: 3/day</x:v>
      </x:c>
      <x:c r="D399" s="15" t="str">
        <x:v>Heap / Priority Queue</x:v>
      </x:c>
      <x:c r="E399" s="15" t="str">
        <x:v>Easy</x:v>
      </x:c>
      <x:c r="F399" s="15" t="n">
        <x:v>1046</x:v>
      </x:c>
      <x:c r="G399" s="15" t="str">
        <x:v>Last Stone Weight</x:v>
      </x:c>
      <x:c r="H399" s="15" t="str">
        <x:v>https://leetcode.com/problems/last-stone-weight/</x:v>
      </x:c>
      <x:c r="I399" s="15" t="str">
        <x:v>Not Started</x:v>
      </x:c>
      <x:c r="J399" s="39"/>
      <x:c r="K399" s="39"/>
      <x:c r="L399" s="39"/>
      <x:c r="M399" s="15" t="str"/>
      <x:c r="N399" s="15" t="str"/>
      <x:c r="O399" s="15" t="str"/>
      <x:c r="P399" s="15" t="str"/>
      <x:c r="Q399" s="15" t="str">
        <x:v>New Solve</x:v>
      </x:c>
    </x:row>
    <x:row r="400">
      <x:c r="A400" s="15" t="n">
        <x:v>399</x:v>
      </x:c>
      <x:c r="B400" s="39" t="n">
        <x:v>46419</x:v>
      </x:c>
      <x:c r="C400" s="15" t="str">
        <x:v>Phase 3: 3/day</x:v>
      </x:c>
      <x:c r="D400" s="15" t="str">
        <x:v>Heap / Priority Queue</x:v>
      </x:c>
      <x:c r="E400" s="15" t="str">
        <x:v>Medium</x:v>
      </x:c>
      <x:c r="F400" s="15" t="n">
        <x:v>973</x:v>
      </x:c>
      <x:c r="G400" s="15" t="str">
        <x:v>K Closest Points to Origin</x:v>
      </x:c>
      <x:c r="H400" s="15" t="str">
        <x:v>https://leetcode.com/problems/k-closest-points-to-origin/</x:v>
      </x:c>
      <x:c r="I400" s="15" t="str">
        <x:v>Not Started</x:v>
      </x:c>
      <x:c r="J400" s="39"/>
      <x:c r="K400" s="39"/>
      <x:c r="L400" s="39"/>
      <x:c r="M400" s="15" t="str"/>
      <x:c r="N400" s="15" t="str"/>
      <x:c r="O400" s="15" t="str"/>
      <x:c r="P400" s="15" t="str"/>
      <x:c r="Q400" s="15" t="str">
        <x:v>New Solve</x:v>
      </x:c>
    </x:row>
    <x:row r="401">
      <x:c r="A401" s="15" t="n">
        <x:v>400</x:v>
      </x:c>
      <x:c r="B401" s="39" t="n">
        <x:v>46420</x:v>
      </x:c>
      <x:c r="C401" s="15" t="str">
        <x:v>Phase 3: 3/day</x:v>
      </x:c>
      <x:c r="D401" s="15" t="str">
        <x:v>Heap / Priority Queue</x:v>
      </x:c>
      <x:c r="E401" s="15" t="str">
        <x:v>Hard</x:v>
      </x:c>
      <x:c r="F401" s="15" t="n">
        <x:v>295</x:v>
      </x:c>
      <x:c r="G401" s="15" t="str">
        <x:v>Find Median from Data Stream</x:v>
      </x:c>
      <x:c r="H401" s="15" t="str">
        <x:v>https://leetcode.com/problems/find-median-from-data-stream/</x:v>
      </x:c>
      <x:c r="I401" s="15" t="str">
        <x:v>Not Started</x:v>
      </x:c>
      <x:c r="J401" s="39"/>
      <x:c r="K401" s="39"/>
      <x:c r="L401" s="39"/>
      <x:c r="M401" s="15" t="str"/>
      <x:c r="N401" s="15" t="str"/>
      <x:c r="O401" s="15" t="str"/>
      <x:c r="P401" s="15" t="str"/>
      <x:c r="Q401" s="15" t="str">
        <x:v>New Solve</x:v>
      </x:c>
    </x:row>
    <x:row r="402">
      <x:c r="A402" s="15" t="n">
        <x:v>401</x:v>
      </x:c>
      <x:c r="B402" s="39" t="n">
        <x:v>46420</x:v>
      </x:c>
      <x:c r="C402" s="15" t="str">
        <x:v>Phase 3: 3/day</x:v>
      </x:c>
      <x:c r="D402" s="15" t="str">
        <x:v>Heap / Priority Queue</x:v>
      </x:c>
      <x:c r="E402" s="15" t="str">
        <x:v>Medium</x:v>
      </x:c>
      <x:c r="F402" s="15" t="n">
        <x:v>692</x:v>
      </x:c>
      <x:c r="G402" s="15" t="str">
        <x:v>Top K Frequent Words</x:v>
      </x:c>
      <x:c r="H402" s="15" t="str">
        <x:v>https://leetcode.com/problems/top-k-frequent-words/</x:v>
      </x:c>
      <x:c r="I402" s="15" t="str">
        <x:v>Not Started</x:v>
      </x:c>
      <x:c r="J402" s="39"/>
      <x:c r="K402" s="39"/>
      <x:c r="L402" s="39"/>
      <x:c r="M402" s="15" t="str"/>
      <x:c r="N402" s="15" t="str"/>
      <x:c r="O402" s="15" t="str"/>
      <x:c r="P402" s="15" t="str"/>
      <x:c r="Q402" s="15" t="str">
        <x:v>New Solve</x:v>
      </x:c>
    </x:row>
    <x:row r="403">
      <x:c r="A403" s="15" t="n">
        <x:v>402</x:v>
      </x:c>
      <x:c r="B403" s="39" t="n">
        <x:v>46420</x:v>
      </x:c>
      <x:c r="C403" s="15" t="str">
        <x:v>Phase 3: 3/day</x:v>
      </x:c>
      <x:c r="D403" s="15" t="str">
        <x:v>Heap / Priority Queue</x:v>
      </x:c>
      <x:c r="E403" s="15" t="str">
        <x:v>Medium</x:v>
      </x:c>
      <x:c r="F403" s="15" t="n">
        <x:v>1834</x:v>
      </x:c>
      <x:c r="G403" s="15" t="str">
        <x:v>Single-Threaded CPU</x:v>
      </x:c>
      <x:c r="H403" s="15" t="str">
        <x:v>https://leetcode.com/problems/single-threaded-cpu/</x:v>
      </x:c>
      <x:c r="I403" s="15" t="str">
        <x:v>Not Started</x:v>
      </x:c>
      <x:c r="J403" s="39"/>
      <x:c r="K403" s="39"/>
      <x:c r="L403" s="39"/>
      <x:c r="M403" s="15" t="str"/>
      <x:c r="N403" s="15" t="str"/>
      <x:c r="O403" s="15" t="str"/>
      <x:c r="P403" s="15" t="str"/>
      <x:c r="Q403" s="15" t="str">
        <x:v>New Solve</x:v>
      </x:c>
    </x:row>
    <x:row r="404">
      <x:c r="A404" s="15" t="n">
        <x:v>403</x:v>
      </x:c>
      <x:c r="B404" s="39" t="n">
        <x:v>46421</x:v>
      </x:c>
      <x:c r="C404" s="15" t="str">
        <x:v>Phase 3: 3/day</x:v>
      </x:c>
      <x:c r="D404" s="15" t="str">
        <x:v>Heap / Priority Queue</x:v>
      </x:c>
      <x:c r="E404" s="15" t="str">
        <x:v>Medium</x:v>
      </x:c>
      <x:c r="F404" s="15" t="n">
        <x:v>1882</x:v>
      </x:c>
      <x:c r="G404" s="15" t="str">
        <x:v>Process Tasks Using Servers</x:v>
      </x:c>
      <x:c r="H404" s="15" t="str">
        <x:v>https://leetcode.com/problems/process-tasks-using-servers/</x:v>
      </x:c>
      <x:c r="I404" s="15" t="str">
        <x:v>Not Started</x:v>
      </x:c>
      <x:c r="J404" s="39"/>
      <x:c r="K404" s="39"/>
      <x:c r="L404" s="39"/>
      <x:c r="M404" s="15" t="str"/>
      <x:c r="N404" s="15" t="str"/>
      <x:c r="O404" s="15" t="str"/>
      <x:c r="P404" s="15" t="str"/>
      <x:c r="Q404" s="15" t="str">
        <x:v>New Solve</x:v>
      </x:c>
    </x:row>
    <x:row r="405">
      <x:c r="A405" s="15" t="n">
        <x:v>404</x:v>
      </x:c>
      <x:c r="B405" s="39" t="n">
        <x:v>46421</x:v>
      </x:c>
      <x:c r="C405" s="15" t="str">
        <x:v>Phase 3: 3/day</x:v>
      </x:c>
      <x:c r="D405" s="15" t="str">
        <x:v>Heap / Priority Queue</x:v>
      </x:c>
      <x:c r="E405" s="15" t="str">
        <x:v>Medium</x:v>
      </x:c>
      <x:c r="F405" s="15" t="n">
        <x:v>1962</x:v>
      </x:c>
      <x:c r="G405" s="15" t="str">
        <x:v>Remove Stones to Minimize the Total</x:v>
      </x:c>
      <x:c r="H405" s="15" t="str">
        <x:v>https://leetcode.com/problems/remove-stones-to-minimize-the-total/</x:v>
      </x:c>
      <x:c r="I405" s="15" t="str">
        <x:v>Not Started</x:v>
      </x:c>
      <x:c r="J405" s="39"/>
      <x:c r="K405" s="39"/>
      <x:c r="L405" s="39"/>
      <x:c r="M405" s="15" t="str"/>
      <x:c r="N405" s="15" t="str"/>
      <x:c r="O405" s="15" t="str"/>
      <x:c r="P405" s="15" t="str"/>
      <x:c r="Q405" s="15" t="str">
        <x:v>New Solve</x:v>
      </x:c>
    </x:row>
    <x:row r="406">
      <x:c r="A406" s="15" t="n">
        <x:v>405</x:v>
      </x:c>
      <x:c r="B406" s="39" t="n">
        <x:v>46421</x:v>
      </x:c>
      <x:c r="C406" s="15" t="str">
        <x:v>Phase 3: 3/day</x:v>
      </x:c>
      <x:c r="D406" s="15" t="str">
        <x:v>Heap / Priority Queue</x:v>
      </x:c>
      <x:c r="E406" s="15" t="str">
        <x:v>Hard</x:v>
      </x:c>
      <x:c r="F406" s="15" t="n">
        <x:v>218</x:v>
      </x:c>
      <x:c r="G406" s="15" t="str">
        <x:v>The Skyline Problem</x:v>
      </x:c>
      <x:c r="H406" s="15" t="str">
        <x:v>https://leetcode.com/problems/the-skyline-problem/</x:v>
      </x:c>
      <x:c r="I406" s="15" t="str">
        <x:v>Not Started</x:v>
      </x:c>
      <x:c r="J406" s="39"/>
      <x:c r="K406" s="39"/>
      <x:c r="L406" s="39"/>
      <x:c r="M406" s="15" t="str"/>
      <x:c r="N406" s="15" t="str"/>
      <x:c r="O406" s="15" t="str"/>
      <x:c r="P406" s="15" t="str"/>
      <x:c r="Q406" s="15" t="str">
        <x:v>New Solve</x:v>
      </x:c>
    </x:row>
    <x:row r="407">
      <x:c r="A407" s="15" t="n">
        <x:v>406</x:v>
      </x:c>
      <x:c r="B407" s="39" t="n">
        <x:v>46422</x:v>
      </x:c>
      <x:c r="C407" s="15" t="str">
        <x:v>Phase 3: 3/day</x:v>
      </x:c>
      <x:c r="D407" s="15" t="str">
        <x:v>Heap / Priority Queue</x:v>
      </x:c>
      <x:c r="E407" s="15" t="str">
        <x:v>Hard</x:v>
      </x:c>
      <x:c r="F407" s="15" t="n">
        <x:v>407</x:v>
      </x:c>
      <x:c r="G407" s="15" t="str">
        <x:v>Trapping Rain Water II</x:v>
      </x:c>
      <x:c r="H407" s="15" t="str">
        <x:v>https://leetcode.com/problems/trapping-rain-water-ii/</x:v>
      </x:c>
      <x:c r="I407" s="15" t="str">
        <x:v>Not Started</x:v>
      </x:c>
      <x:c r="J407" s="39"/>
      <x:c r="K407" s="39"/>
      <x:c r="L407" s="39"/>
      <x:c r="M407" s="15" t="str"/>
      <x:c r="N407" s="15" t="str"/>
      <x:c r="O407" s="15" t="str"/>
      <x:c r="P407" s="15" t="str"/>
      <x:c r="Q407" s="15" t="str">
        <x:v>New Solve</x:v>
      </x:c>
    </x:row>
    <x:row r="408">
      <x:c r="A408" s="15" t="n">
        <x:v>407</x:v>
      </x:c>
      <x:c r="B408" s="39" t="n">
        <x:v>46422</x:v>
      </x:c>
      <x:c r="C408" s="15" t="str">
        <x:v>Phase 3: 3/day</x:v>
      </x:c>
      <x:c r="D408" s="15" t="str">
        <x:v>Heap / Priority Queue</x:v>
      </x:c>
      <x:c r="E408" s="15" t="str">
        <x:v>Medium</x:v>
      </x:c>
      <x:c r="F408" s="15" t="n">
        <x:v>373</x:v>
      </x:c>
      <x:c r="G408" s="15" t="str">
        <x:v>Find K Pairs with Smallest Sums</x:v>
      </x:c>
      <x:c r="H408" s="15" t="str">
        <x:v>https://leetcode.com/problems/find-k-pairs-with-smallest-sums/</x:v>
      </x:c>
      <x:c r="I408" s="15" t="str">
        <x:v>Not Started</x:v>
      </x:c>
      <x:c r="J408" s="39"/>
      <x:c r="K408" s="39"/>
      <x:c r="L408" s="39"/>
      <x:c r="M408" s="15" t="str"/>
      <x:c r="N408" s="15" t="str"/>
      <x:c r="O408" s="15" t="str"/>
      <x:c r="P408" s="15" t="str"/>
      <x:c r="Q408" s="15" t="str">
        <x:v>New Solve</x:v>
      </x:c>
    </x:row>
    <x:row r="409">
      <x:c r="A409" s="15" t="n">
        <x:v>408</x:v>
      </x:c>
      <x:c r="B409" s="39" t="n">
        <x:v>46422</x:v>
      </x:c>
      <x:c r="C409" s="15" t="str">
        <x:v>Phase 3: 3/day</x:v>
      </x:c>
      <x:c r="D409" s="15" t="str">
        <x:v>Heap / Priority Queue</x:v>
      </x:c>
      <x:c r="E409" s="15" t="str">
        <x:v>Hard</x:v>
      </x:c>
      <x:c r="F409" s="15" t="n">
        <x:v>480</x:v>
      </x:c>
      <x:c r="G409" s="15" t="str">
        <x:v>Sliding Window Median</x:v>
      </x:c>
      <x:c r="H409" s="15" t="str">
        <x:v>https://leetcode.com/problems/sliding-window-median/</x:v>
      </x:c>
      <x:c r="I409" s="15" t="str">
        <x:v>Not Started</x:v>
      </x:c>
      <x:c r="J409" s="39"/>
      <x:c r="K409" s="39"/>
      <x:c r="L409" s="39"/>
      <x:c r="M409" s="15" t="str"/>
      <x:c r="N409" s="15" t="str"/>
      <x:c r="O409" s="15" t="str"/>
      <x:c r="P409" s="15" t="str"/>
      <x:c r="Q409" s="15" t="str">
        <x:v>New Solve</x:v>
      </x:c>
    </x:row>
    <x:row r="410">
      <x:c r="A410" s="15" t="n">
        <x:v>409</x:v>
      </x:c>
      <x:c r="B410" s="39" t="n">
        <x:v>46423</x:v>
      </x:c>
      <x:c r="C410" s="15" t="str">
        <x:v>Phase 3: 3/day</x:v>
      </x:c>
      <x:c r="D410" s="15" t="str">
        <x:v>Heap / Priority Queue</x:v>
      </x:c>
      <x:c r="E410" s="15" t="str">
        <x:v>Hard</x:v>
      </x:c>
      <x:c r="F410" s="15" t="n">
        <x:v>502</x:v>
      </x:c>
      <x:c r="G410" s="15" t="str">
        <x:v>IPO</x:v>
      </x:c>
      <x:c r="H410" s="15" t="str">
        <x:v>https://leetcode.com/problems/ipo/</x:v>
      </x:c>
      <x:c r="I410" s="15" t="str">
        <x:v>Not Started</x:v>
      </x:c>
      <x:c r="J410" s="39"/>
      <x:c r="K410" s="39"/>
      <x:c r="L410" s="39"/>
      <x:c r="M410" s="15" t="str"/>
      <x:c r="N410" s="15" t="str"/>
      <x:c r="O410" s="15" t="str"/>
      <x:c r="P410" s="15" t="str"/>
      <x:c r="Q410" s="15" t="str">
        <x:v>New Solve</x:v>
      </x:c>
    </x:row>
    <x:row r="411">
      <x:c r="A411" s="15" t="n">
        <x:v>410</x:v>
      </x:c>
      <x:c r="B411" s="39" t="n">
        <x:v>46423</x:v>
      </x:c>
      <x:c r="C411" s="15" t="str">
        <x:v>Phase 3: 3/day</x:v>
      </x:c>
      <x:c r="D411" s="15" t="str">
        <x:v>Heap / Priority Queue</x:v>
      </x:c>
      <x:c r="E411" s="15" t="str">
        <x:v>Hard</x:v>
      </x:c>
      <x:c r="F411" s="15" t="n">
        <x:v>632</x:v>
      </x:c>
      <x:c r="G411" s="15" t="str">
        <x:v>Smallest Range Covering Elements from K Lists</x:v>
      </x:c>
      <x:c r="H411" s="15" t="str">
        <x:v>https://leetcode.com/problems/smallest-range-covering-elements-from-k-lists/</x:v>
      </x:c>
      <x:c r="I411" s="15" t="str">
        <x:v>Not Started</x:v>
      </x:c>
      <x:c r="J411" s="39"/>
      <x:c r="K411" s="39"/>
      <x:c r="L411" s="39"/>
      <x:c r="M411" s="15" t="str"/>
      <x:c r="N411" s="15" t="str"/>
      <x:c r="O411" s="15" t="str"/>
      <x:c r="P411" s="15" t="str"/>
      <x:c r="Q411" s="15" t="str">
        <x:v>New Solve</x:v>
      </x:c>
    </x:row>
    <x:row r="412">
      <x:c r="A412" s="15" t="n">
        <x:v>411</x:v>
      </x:c>
      <x:c r="B412" s="39" t="n">
        <x:v>46423</x:v>
      </x:c>
      <x:c r="C412" s="15" t="str">
        <x:v>Phase 3: 3/day</x:v>
      </x:c>
      <x:c r="D412" s="15" t="str">
        <x:v>Heap / Priority Queue</x:v>
      </x:c>
      <x:c r="E412" s="15" t="str">
        <x:v>Hard</x:v>
      </x:c>
      <x:c r="F412" s="15" t="n">
        <x:v>857</x:v>
      </x:c>
      <x:c r="G412" s="15" t="str">
        <x:v>Minimum Cost to Hire K Workers</x:v>
      </x:c>
      <x:c r="H412" s="15" t="str">
        <x:v>https://leetcode.com/problems/minimum-cost-to-hire-k-workers/</x:v>
      </x:c>
      <x:c r="I412" s="15" t="str">
        <x:v>Not Started</x:v>
      </x:c>
      <x:c r="J412" s="39"/>
      <x:c r="K412" s="39"/>
      <x:c r="L412" s="39"/>
      <x:c r="M412" s="15" t="str"/>
      <x:c r="N412" s="15" t="str"/>
      <x:c r="O412" s="15" t="str"/>
      <x:c r="P412" s="15" t="str"/>
      <x:c r="Q412" s="15" t="str">
        <x:v>New Solve</x:v>
      </x:c>
    </x:row>
    <x:row r="413">
      <x:c r="A413" s="15" t="n">
        <x:v>412</x:v>
      </x:c>
      <x:c r="B413" s="39" t="n">
        <x:v>46424</x:v>
      </x:c>
      <x:c r="C413" s="15" t="str">
        <x:v>Phase 3: 3/day</x:v>
      </x:c>
      <x:c r="D413" s="15" t="str">
        <x:v>Heap / Priority Queue</x:v>
      </x:c>
      <x:c r="E413" s="15" t="str">
        <x:v>Hard</x:v>
      </x:c>
      <x:c r="F413" s="15" t="n">
        <x:v>871</x:v>
      </x:c>
      <x:c r="G413" s="15" t="str">
        <x:v>Minimum Number of Refueling Stops</x:v>
      </x:c>
      <x:c r="H413" s="15" t="str">
        <x:v>https://leetcode.com/problems/minimum-number-of-refueling-stops/</x:v>
      </x:c>
      <x:c r="I413" s="15" t="str">
        <x:v>Not Started</x:v>
      </x:c>
      <x:c r="J413" s="39"/>
      <x:c r="K413" s="39"/>
      <x:c r="L413" s="39"/>
      <x:c r="M413" s="15" t="str"/>
      <x:c r="N413" s="15" t="str"/>
      <x:c r="O413" s="15" t="str"/>
      <x:c r="P413" s="15" t="str"/>
      <x:c r="Q413" s="15" t="str">
        <x:v>New Solve</x:v>
      </x:c>
    </x:row>
    <x:row r="414">
      <x:c r="A414" s="15" t="n">
        <x:v>413</x:v>
      </x:c>
      <x:c r="B414" s="39" t="n">
        <x:v>46424</x:v>
      </x:c>
      <x:c r="C414" s="15" t="str">
        <x:v>Phase 3: 3/day</x:v>
      </x:c>
      <x:c r="D414" s="15" t="str">
        <x:v>Heap / Priority Queue</x:v>
      </x:c>
      <x:c r="E414" s="15" t="str">
        <x:v>Hard</x:v>
      </x:c>
      <x:c r="F414" s="15" t="n">
        <x:v>895</x:v>
      </x:c>
      <x:c r="G414" s="15" t="str">
        <x:v>Maximum Frequency Stack</x:v>
      </x:c>
      <x:c r="H414" s="15" t="str">
        <x:v>https://leetcode.com/problems/maximum-frequency-stack/</x:v>
      </x:c>
      <x:c r="I414" s="15" t="str">
        <x:v>Not Started</x:v>
      </x:c>
      <x:c r="J414" s="39"/>
      <x:c r="K414" s="39"/>
      <x:c r="L414" s="39"/>
      <x:c r="M414" s="15" t="str"/>
      <x:c r="N414" s="15" t="str"/>
      <x:c r="O414" s="15" t="str"/>
      <x:c r="P414" s="15" t="str"/>
      <x:c r="Q414" s="15" t="str">
        <x:v>New Solve</x:v>
      </x:c>
    </x:row>
    <x:row r="415">
      <x:c r="A415" s="15" t="n">
        <x:v>414</x:v>
      </x:c>
      <x:c r="B415" s="39" t="n">
        <x:v>46424</x:v>
      </x:c>
      <x:c r="C415" s="15" t="str">
        <x:v>Phase 3: 3/day</x:v>
      </x:c>
      <x:c r="D415" s="15" t="str">
        <x:v>Heap / Priority Queue</x:v>
      </x:c>
      <x:c r="E415" s="15" t="str">
        <x:v>Medium</x:v>
      </x:c>
      <x:c r="F415" s="15" t="n">
        <x:v>1353</x:v>
      </x:c>
      <x:c r="G415" s="15" t="str">
        <x:v>Maximum Number of Events That Can Be Attended</x:v>
      </x:c>
      <x:c r="H415" s="15" t="str">
        <x:v>https://leetcode.com/problems/maximum-number-of-events-that-can-be-attended/</x:v>
      </x:c>
      <x:c r="I415" s="15" t="str">
        <x:v>Not Started</x:v>
      </x:c>
      <x:c r="J415" s="39"/>
      <x:c r="K415" s="39"/>
      <x:c r="L415" s="39"/>
      <x:c r="M415" s="15" t="str"/>
      <x:c r="N415" s="15" t="str"/>
      <x:c r="O415" s="15" t="str"/>
      <x:c r="P415" s="15" t="str"/>
      <x:c r="Q415" s="15" t="str">
        <x:v>New Solve</x:v>
      </x:c>
    </x:row>
    <x:row r="416">
      <x:c r="A416" s="15" t="n">
        <x:v>415</x:v>
      </x:c>
      <x:c r="B416" s="39" t="n">
        <x:v>46425</x:v>
      </x:c>
      <x:c r="C416" s="15" t="str">
        <x:v>Phase 3: 3/day</x:v>
      </x:c>
      <x:c r="D416" s="15" t="str">
        <x:v>Heap / Priority Queue</x:v>
      </x:c>
      <x:c r="E416" s="15" t="str">
        <x:v>Hard</x:v>
      </x:c>
      <x:c r="F416" s="15" t="n">
        <x:v>1383</x:v>
      </x:c>
      <x:c r="G416" s="15" t="str">
        <x:v>Maximum Performance of a Team</x:v>
      </x:c>
      <x:c r="H416" s="15" t="str">
        <x:v>https://leetcode.com/problems/maximum-performance-of-a-team/</x:v>
      </x:c>
      <x:c r="I416" s="15" t="str">
        <x:v>Not Started</x:v>
      </x:c>
      <x:c r="J416" s="39"/>
      <x:c r="K416" s="39"/>
      <x:c r="L416" s="39"/>
      <x:c r="M416" s="15" t="str"/>
      <x:c r="N416" s="15" t="str"/>
      <x:c r="O416" s="15" t="str"/>
      <x:c r="P416" s="15" t="str"/>
      <x:c r="Q416" s="15" t="str">
        <x:v>New Solve</x:v>
      </x:c>
    </x:row>
    <x:row r="417">
      <x:c r="A417" s="15" t="n">
        <x:v>416</x:v>
      </x:c>
      <x:c r="B417" s="39" t="n">
        <x:v>46425</x:v>
      </x:c>
      <x:c r="C417" s="15" t="str">
        <x:v>Phase 3: 3/day</x:v>
      </x:c>
      <x:c r="D417" s="15" t="str">
        <x:v>Heap / Priority Queue</x:v>
      </x:c>
      <x:c r="E417" s="15" t="str">
        <x:v>Medium</x:v>
      </x:c>
      <x:c r="F417" s="15" t="n">
        <x:v>1642</x:v>
      </x:c>
      <x:c r="G417" s="15" t="str">
        <x:v>Furthest Building You Can Reach</x:v>
      </x:c>
      <x:c r="H417" s="15" t="str">
        <x:v>https://leetcode.com/problems/furthest-building-you-can-reach/</x:v>
      </x:c>
      <x:c r="I417" s="15" t="str">
        <x:v>Not Started</x:v>
      </x:c>
      <x:c r="J417" s="39"/>
      <x:c r="K417" s="39"/>
      <x:c r="L417" s="39"/>
      <x:c r="M417" s="15" t="str"/>
      <x:c r="N417" s="15" t="str"/>
      <x:c r="O417" s="15" t="str"/>
      <x:c r="P417" s="15" t="str"/>
      <x:c r="Q417" s="15" t="str">
        <x:v>New Solve</x:v>
      </x:c>
    </x:row>
    <x:row r="418">
      <x:c r="A418" s="15" t="n">
        <x:v>417</x:v>
      </x:c>
      <x:c r="B418" s="39" t="n">
        <x:v>46425</x:v>
      </x:c>
      <x:c r="C418" s="15" t="str">
        <x:v>Phase 3: 3/day</x:v>
      </x:c>
      <x:c r="D418" s="15" t="str">
        <x:v>Heap / Priority Queue</x:v>
      </x:c>
      <x:c r="E418" s="15" t="str">
        <x:v>Hard</x:v>
      </x:c>
      <x:c r="F418" s="15" t="n">
        <x:v>1675</x:v>
      </x:c>
      <x:c r="G418" s="15" t="str">
        <x:v>Minimize Deviation in Array</x:v>
      </x:c>
      <x:c r="H418" s="15" t="str">
        <x:v>https://leetcode.com/problems/minimize-deviation-in-array/</x:v>
      </x:c>
      <x:c r="I418" s="15" t="str">
        <x:v>Not Started</x:v>
      </x:c>
      <x:c r="J418" s="39"/>
      <x:c r="K418" s="39"/>
      <x:c r="L418" s="39"/>
      <x:c r="M418" s="15" t="str"/>
      <x:c r="N418" s="15" t="str"/>
      <x:c r="O418" s="15" t="str"/>
      <x:c r="P418" s="15" t="str"/>
      <x:c r="Q418" s="15" t="str">
        <x:v>New Solve</x:v>
      </x:c>
    </x:row>
    <x:row r="419">
      <x:c r="A419" s="15" t="n">
        <x:v>418</x:v>
      </x:c>
      <x:c r="B419" s="39" t="n">
        <x:v>46426</x:v>
      </x:c>
      <x:c r="C419" s="15" t="str">
        <x:v>Phase 3: 3/day</x:v>
      </x:c>
      <x:c r="D419" s="15" t="str">
        <x:v>Heap / Priority Queue</x:v>
      </x:c>
      <x:c r="E419" s="15" t="str">
        <x:v>Hard</x:v>
      </x:c>
      <x:c r="F419" s="15" t="n">
        <x:v>2402</x:v>
      </x:c>
      <x:c r="G419" s="15" t="str">
        <x:v>Meeting Rooms III</x:v>
      </x:c>
      <x:c r="H419" s="15" t="str">
        <x:v>https://leetcode.com/problems/meeting-rooms-iii/</x:v>
      </x:c>
      <x:c r="I419" s="15" t="str">
        <x:v>Not Started</x:v>
      </x:c>
      <x:c r="J419" s="39"/>
      <x:c r="K419" s="39"/>
      <x:c r="L419" s="39"/>
      <x:c r="M419" s="15" t="str"/>
      <x:c r="N419" s="15" t="str"/>
      <x:c r="O419" s="15" t="str"/>
      <x:c r="P419" s="15" t="str"/>
      <x:c r="Q419" s="15" t="str">
        <x:v>New Solve</x:v>
      </x:c>
    </x:row>
    <x:row r="420">
      <x:c r="A420" s="15" t="n">
        <x:v>419</x:v>
      </x:c>
      <x:c r="B420" s="39" t="n">
        <x:v>46426</x:v>
      </x:c>
      <x:c r="C420" s="15" t="str">
        <x:v>Phase 3: 3/day</x:v>
      </x:c>
      <x:c r="D420" s="15" t="str">
        <x:v>Heap / Priority Queue</x:v>
      </x:c>
      <x:c r="E420" s="15" t="str">
        <x:v>Medium</x:v>
      </x:c>
      <x:c r="F420" s="15" t="n">
        <x:v>2462</x:v>
      </x:c>
      <x:c r="G420" s="15" t="str">
        <x:v>Total Cost to Hire K Workers</x:v>
      </x:c>
      <x:c r="H420" s="15" t="str">
        <x:v>https://leetcode.com/problems/total-cost-to-hire-k-workers/</x:v>
      </x:c>
      <x:c r="I420" s="15" t="str">
        <x:v>Not Started</x:v>
      </x:c>
      <x:c r="J420" s="39"/>
      <x:c r="K420" s="39"/>
      <x:c r="L420" s="39"/>
      <x:c r="M420" s="15" t="str"/>
      <x:c r="N420" s="15" t="str"/>
      <x:c r="O420" s="15" t="str"/>
      <x:c r="P420" s="15" t="str"/>
      <x:c r="Q420" s="15" t="str">
        <x:v>New Solve</x:v>
      </x:c>
    </x:row>
    <x:row r="421">
      <x:c r="A421" s="15" t="n">
        <x:v>420</x:v>
      </x:c>
      <x:c r="B421" s="39" t="n">
        <x:v>46426</x:v>
      </x:c>
      <x:c r="C421" s="15" t="str">
        <x:v>Phase 3: 3/day</x:v>
      </x:c>
      <x:c r="D421" s="15" t="str">
        <x:v>Heap / Priority Queue</x:v>
      </x:c>
      <x:c r="E421" s="15" t="str">
        <x:v>Medium</x:v>
      </x:c>
      <x:c r="F421" s="15" t="n">
        <x:v>2530</x:v>
      </x:c>
      <x:c r="G421" s="15" t="str">
        <x:v>Maximal Score After Applying K Operations</x:v>
      </x:c>
      <x:c r="H421" s="15" t="str">
        <x:v>https://leetcode.com/problems/maximal-score-after-applying-k-operations/</x:v>
      </x:c>
      <x:c r="I421" s="15" t="str">
        <x:v>Not Started</x:v>
      </x:c>
      <x:c r="J421" s="39"/>
      <x:c r="K421" s="39"/>
      <x:c r="L421" s="39"/>
      <x:c r="M421" s="15"/>
      <x:c r="N421" s="15"/>
      <x:c r="O421" s="15"/>
      <x:c r="P421" s="15"/>
      <x:c r="Q421" s="15" t="str">
        <x:v>New Solve</x:v>
      </x:c>
    </x:row>
    <x:row r="422">
      <x:c r="A422" s="15" t="n">
        <x:v>421</x:v>
      </x:c>
      <x:c r="B422" s="39" t="n">
        <x:v>46427</x:v>
      </x:c>
      <x:c r="C422" s="15" t="str">
        <x:v>Phase 3: 3/day</x:v>
      </x:c>
      <x:c r="D422" s="15" t="str">
        <x:v>Recursion Basics</x:v>
      </x:c>
      <x:c r="E422" s="15" t="str">
        <x:v>Easy</x:v>
      </x:c>
      <x:c r="F422" s="15" t="n">
        <x:v>509</x:v>
      </x:c>
      <x:c r="G422" s="15" t="str">
        <x:v>Fibonacci Number</x:v>
      </x:c>
      <x:c r="H422" s="15" t="str">
        <x:v>https://leetcode.com/problems/fibonacci-number/</x:v>
      </x:c>
      <x:c r="I422" s="15" t="str">
        <x:v>Not Started</x:v>
      </x:c>
      <x:c r="J422" s="39"/>
      <x:c r="K422" s="39"/>
      <x:c r="L422" s="39"/>
      <x:c r="M422" s="15"/>
      <x:c r="N422" s="15"/>
      <x:c r="O422" s="15"/>
      <x:c r="P422" s="15"/>
      <x:c r="Q422" s="15" t="str">
        <x:v>New Solve</x:v>
      </x:c>
    </x:row>
    <x:row r="423">
      <x:c r="A423" s="15" t="n">
        <x:v>422</x:v>
      </x:c>
      <x:c r="B423" s="39" t="n">
        <x:v>46427</x:v>
      </x:c>
      <x:c r="C423" s="15" t="str">
        <x:v>Phase 3: 3/day</x:v>
      </x:c>
      <x:c r="D423" s="15" t="str">
        <x:v>Recursion Basics</x:v>
      </x:c>
      <x:c r="E423" s="15" t="str">
        <x:v>Medium</x:v>
      </x:c>
      <x:c r="F423" s="15" t="n">
        <x:v>779</x:v>
      </x:c>
      <x:c r="G423" s="15" t="str">
        <x:v>K-th Symbol in Grammar</x:v>
      </x:c>
      <x:c r="H423" s="15" t="str">
        <x:v>https://leetcode.com/problems/k-th-symbol-in-grammar/</x:v>
      </x:c>
      <x:c r="I423" s="15" t="str">
        <x:v>Not Started</x:v>
      </x:c>
      <x:c r="J423" s="39"/>
      <x:c r="K423" s="39"/>
      <x:c r="L423" s="39"/>
      <x:c r="M423" s="15"/>
      <x:c r="N423" s="15"/>
      <x:c r="O423" s="15"/>
      <x:c r="P423" s="15"/>
      <x:c r="Q423" s="15" t="str">
        <x:v>New Solve</x:v>
      </x:c>
    </x:row>
    <x:row r="424">
      <x:c r="A424" s="15" t="n">
        <x:v>423</x:v>
      </x:c>
      <x:c r="B424" s="39" t="n">
        <x:v>46427</x:v>
      </x:c>
      <x:c r="C424" s="15" t="str">
        <x:v>Phase 3: 3/day</x:v>
      </x:c>
      <x:c r="D424" s="15" t="str">
        <x:v>Recursion Basics</x:v>
      </x:c>
      <x:c r="E424" s="15" t="str">
        <x:v>Medium</x:v>
      </x:c>
      <x:c r="F424" s="15" t="n">
        <x:v>241</x:v>
      </x:c>
      <x:c r="G424" s="15" t="str">
        <x:v>Different Ways to Add Parentheses</x:v>
      </x:c>
      <x:c r="H424" s="15" t="str">
        <x:v>https://leetcode.com/problems/different-ways-to-add-parentheses/</x:v>
      </x:c>
      <x:c r="I424" s="15" t="str">
        <x:v>Not Started</x:v>
      </x:c>
      <x:c r="J424" s="39"/>
      <x:c r="K424" s="39"/>
      <x:c r="L424" s="39"/>
      <x:c r="M424" s="15"/>
      <x:c r="N424" s="15"/>
      <x:c r="O424" s="15"/>
      <x:c r="P424" s="15"/>
      <x:c r="Q424" s="15" t="str">
        <x:v>New Solve</x:v>
      </x:c>
    </x:row>
    <x:row r="425">
      <x:c r="A425" s="15" t="n">
        <x:v>424</x:v>
      </x:c>
      <x:c r="B425" s="39" t="n">
        <x:v>46428</x:v>
      </x:c>
      <x:c r="C425" s="15" t="str">
        <x:v>Phase 3: 3/day</x:v>
      </x:c>
      <x:c r="D425" s="15" t="str">
        <x:v>Recursion Basics</x:v>
      </x:c>
      <x:c r="E425" s="15" t="str">
        <x:v>Medium</x:v>
      </x:c>
      <x:c r="F425" s="15" t="n">
        <x:v>95</x:v>
      </x:c>
      <x:c r="G425" s="15" t="str">
        <x:v>Unique Binary Search Trees II</x:v>
      </x:c>
      <x:c r="H425" s="15" t="str">
        <x:v>https://leetcode.com/problems/unique-binary-search-trees-ii/</x:v>
      </x:c>
      <x:c r="I425" s="15" t="str">
        <x:v>Not Started</x:v>
      </x:c>
      <x:c r="J425" s="39"/>
      <x:c r="K425" s="39"/>
      <x:c r="L425" s="39"/>
      <x:c r="M425" s="15"/>
      <x:c r="N425" s="15"/>
      <x:c r="O425" s="15"/>
      <x:c r="P425" s="15"/>
      <x:c r="Q425" s="15" t="str">
        <x:v>New Solve</x:v>
      </x:c>
    </x:row>
    <x:row r="426">
      <x:c r="A426" s="15" t="n">
        <x:v>425</x:v>
      </x:c>
      <x:c r="B426" s="39" t="n">
        <x:v>46428</x:v>
      </x:c>
      <x:c r="C426" s="15" t="str">
        <x:v>Phase 3: 3/day</x:v>
      </x:c>
      <x:c r="D426" s="15" t="str">
        <x:v>Recursion Basics</x:v>
      </x:c>
      <x:c r="E426" s="15" t="str">
        <x:v>Medium</x:v>
      </x:c>
      <x:c r="F426" s="15" t="n">
        <x:v>894</x:v>
      </x:c>
      <x:c r="G426" s="15" t="str">
        <x:v>All Possible Full Binary Trees</x:v>
      </x:c>
      <x:c r="H426" s="15" t="str">
        <x:v>https://leetcode.com/problems/all-possible-full-binary-trees/</x:v>
      </x:c>
      <x:c r="I426" s="15" t="str">
        <x:v>Not Started</x:v>
      </x:c>
      <x:c r="J426" s="39"/>
      <x:c r="K426" s="39"/>
      <x:c r="L426" s="39"/>
      <x:c r="M426" s="15"/>
      <x:c r="N426" s="15"/>
      <x:c r="O426" s="15"/>
      <x:c r="P426" s="15"/>
      <x:c r="Q426" s="15" t="str">
        <x:v>New Solve</x:v>
      </x:c>
    </x:row>
    <x:row r="427">
      <x:c r="A427" s="15" t="n">
        <x:v>426</x:v>
      </x:c>
      <x:c r="B427" s="39" t="n">
        <x:v>46428</x:v>
      </x:c>
      <x:c r="C427" s="15" t="str">
        <x:v>Phase 3: 3/day</x:v>
      </x:c>
      <x:c r="D427" s="15" t="str">
        <x:v>Recursion Basics</x:v>
      </x:c>
      <x:c r="E427" s="15" t="str">
        <x:v>Medium</x:v>
      </x:c>
      <x:c r="F427" s="15" t="n">
        <x:v>386</x:v>
      </x:c>
      <x:c r="G427" s="15" t="str">
        <x:v>Lexicographical Numbers</x:v>
      </x:c>
      <x:c r="H427" s="15" t="str">
        <x:v>https://leetcode.com/problems/lexicographical-numbers/</x:v>
      </x:c>
      <x:c r="I427" s="15" t="str">
        <x:v>Not Started</x:v>
      </x:c>
      <x:c r="J427" s="39"/>
      <x:c r="K427" s="39"/>
      <x:c r="L427" s="39"/>
      <x:c r="M427" s="15"/>
      <x:c r="N427" s="15"/>
      <x:c r="O427" s="15"/>
      <x:c r="P427" s="15"/>
      <x:c r="Q427" s="15" t="str">
        <x:v>New Solve</x:v>
      </x:c>
    </x:row>
    <x:row r="428">
      <x:c r="A428" s="15" t="n">
        <x:v>427</x:v>
      </x:c>
      <x:c r="B428" s="39" t="n">
        <x:v>46429</x:v>
      </x:c>
      <x:c r="C428" s="15" t="str">
        <x:v>Phase 3: 3/day</x:v>
      </x:c>
      <x:c r="D428" s="15" t="str">
        <x:v>Recursion Basics</x:v>
      </x:c>
      <x:c r="E428" s="15" t="str">
        <x:v>Medium</x:v>
      </x:c>
      <x:c r="F428" s="15" t="n">
        <x:v>1823</x:v>
      </x:c>
      <x:c r="G428" s="15" t="str">
        <x:v>Find the Winner of the Circular Game</x:v>
      </x:c>
      <x:c r="H428" s="15" t="str">
        <x:v>https://leetcode.com/problems/find-the-winner-of-the-circular-game/</x:v>
      </x:c>
      <x:c r="I428" s="15" t="str">
        <x:v>Not Started</x:v>
      </x:c>
      <x:c r="J428" s="39"/>
      <x:c r="K428" s="39"/>
      <x:c r="L428" s="39"/>
      <x:c r="M428" s="15"/>
      <x:c r="N428" s="15"/>
      <x:c r="O428" s="15"/>
      <x:c r="P428" s="15"/>
      <x:c r="Q428" s="15" t="str">
        <x:v>New Solve</x:v>
      </x:c>
    </x:row>
    <x:row r="429">
      <x:c r="A429" s="15" t="n">
        <x:v>428</x:v>
      </x:c>
      <x:c r="B429" s="39" t="n">
        <x:v>46429</x:v>
      </x:c>
      <x:c r="C429" s="15" t="str">
        <x:v>Phase 3: 3/day</x:v>
      </x:c>
      <x:c r="D429" s="15" t="str">
        <x:v>Recursion Basics</x:v>
      </x:c>
      <x:c r="E429" s="15" t="str">
        <x:v>Hard</x:v>
      </x:c>
      <x:c r="F429" s="15" t="n">
        <x:v>60</x:v>
      </x:c>
      <x:c r="G429" s="15" t="str">
        <x:v>Permutation Sequence</x:v>
      </x:c>
      <x:c r="H429" s="15" t="str">
        <x:v>https://leetcode.com/problems/permutation-sequence/</x:v>
      </x:c>
      <x:c r="I429" s="15" t="str">
        <x:v>Not Started</x:v>
      </x:c>
      <x:c r="J429" s="39"/>
      <x:c r="K429" s="39"/>
      <x:c r="L429" s="39"/>
      <x:c r="M429" s="15"/>
      <x:c r="N429" s="15"/>
      <x:c r="O429" s="15"/>
      <x:c r="P429" s="15"/>
      <x:c r="Q429" s="15" t="str">
        <x:v>New Solve</x:v>
      </x:c>
    </x:row>
    <x:row r="430">
      <x:c r="A430" s="15" t="n">
        <x:v>429</x:v>
      </x:c>
      <x:c r="B430" s="39" t="n">
        <x:v>46429</x:v>
      </x:c>
      <x:c r="C430" s="15" t="str">
        <x:v>Phase 3: 3/day</x:v>
      </x:c>
      <x:c r="D430" s="15" t="str">
        <x:v>Recursion Basics</x:v>
      </x:c>
      <x:c r="E430" s="15" t="str">
        <x:v>Medium</x:v>
      </x:c>
      <x:c r="F430" s="15" t="n">
        <x:v>390</x:v>
      </x:c>
      <x:c r="G430" s="15" t="str">
        <x:v>Elimination Game</x:v>
      </x:c>
      <x:c r="H430" s="15" t="str">
        <x:v>https://leetcode.com/problems/elimination-game/</x:v>
      </x:c>
      <x:c r="I430" s="15" t="str">
        <x:v>Not Started</x:v>
      </x:c>
      <x:c r="J430" s="39"/>
      <x:c r="K430" s="39"/>
      <x:c r="L430" s="39"/>
      <x:c r="M430" s="15"/>
      <x:c r="N430" s="15"/>
      <x:c r="O430" s="15"/>
      <x:c r="P430" s="15"/>
      <x:c r="Q430" s="15" t="str">
        <x:v>New Solve</x:v>
      </x:c>
    </x:row>
    <x:row r="431">
      <x:c r="A431" s="15" t="n">
        <x:v>430</x:v>
      </x:c>
      <x:c r="B431" s="39" t="n">
        <x:v>46430</x:v>
      </x:c>
      <x:c r="C431" s="15" t="str">
        <x:v>Phase 3: 3/day</x:v>
      </x:c>
      <x:c r="D431" s="15" t="str">
        <x:v>Recursion Basics</x:v>
      </x:c>
      <x:c r="E431" s="15" t="str">
        <x:v>Medium</x:v>
      </x:c>
      <x:c r="F431" s="15" t="n">
        <x:v>1922</x:v>
      </x:c>
      <x:c r="G431" s="15" t="str">
        <x:v>Count Good Numbers</x:v>
      </x:c>
      <x:c r="H431" s="15" t="str">
        <x:v>https://leetcode.com/problems/count-good-numbers/</x:v>
      </x:c>
      <x:c r="I431" s="15" t="str">
        <x:v>Not Started</x:v>
      </x:c>
      <x:c r="J431" s="39"/>
      <x:c r="K431" s="39"/>
      <x:c r="L431" s="39"/>
      <x:c r="M431" s="15"/>
      <x:c r="N431" s="15"/>
      <x:c r="O431" s="15"/>
      <x:c r="P431" s="15"/>
      <x:c r="Q431" s="15" t="str">
        <x:v>New Solve</x:v>
      </x:c>
    </x:row>
    <x:row r="432">
      <x:c r="A432" s="15" t="n">
        <x:v>431</x:v>
      </x:c>
      <x:c r="B432" s="39" t="n">
        <x:v>46430</x:v>
      </x:c>
      <x:c r="C432" s="15" t="str">
        <x:v>Phase 3: 3/day</x:v>
      </x:c>
      <x:c r="D432" s="15" t="str">
        <x:v>Backtracking</x:v>
      </x:c>
      <x:c r="E432" s="15" t="str">
        <x:v>Medium</x:v>
      </x:c>
      <x:c r="F432" s="15" t="n">
        <x:v>22</x:v>
      </x:c>
      <x:c r="G432" s="15" t="str">
        <x:v>Generate Parentheses</x:v>
      </x:c>
      <x:c r="H432" s="15" t="str">
        <x:v>https://leetcode.com/problems/generate-parentheses/</x:v>
      </x:c>
      <x:c r="I432" s="15" t="str">
        <x:v>Not Started</x:v>
      </x:c>
      <x:c r="J432" s="39"/>
      <x:c r="K432" s="39"/>
      <x:c r="L432" s="39"/>
      <x:c r="M432" s="15"/>
      <x:c r="N432" s="15"/>
      <x:c r="O432" s="15"/>
      <x:c r="P432" s="15"/>
      <x:c r="Q432" s="15" t="str">
        <x:v>New Solve</x:v>
      </x:c>
    </x:row>
    <x:row r="433">
      <x:c r="A433" s="15" t="n">
        <x:v>432</x:v>
      </x:c>
      <x:c r="B433" s="39" t="n">
        <x:v>46430</x:v>
      </x:c>
      <x:c r="C433" s="15" t="str">
        <x:v>Phase 3: 3/day</x:v>
      </x:c>
      <x:c r="D433" s="15" t="str">
        <x:v>Backtracking</x:v>
      </x:c>
      <x:c r="E433" s="15" t="str">
        <x:v>Medium</x:v>
      </x:c>
      <x:c r="F433" s="15" t="n">
        <x:v>39</x:v>
      </x:c>
      <x:c r="G433" s="15" t="str">
        <x:v>Combination Sum</x:v>
      </x:c>
      <x:c r="H433" s="15" t="str">
        <x:v>https://leetcode.com/problems/combination-sum/</x:v>
      </x:c>
      <x:c r="I433" s="15" t="str">
        <x:v>Not Started</x:v>
      </x:c>
      <x:c r="J433" s="39"/>
      <x:c r="K433" s="39"/>
      <x:c r="L433" s="39"/>
      <x:c r="M433" s="15"/>
      <x:c r="N433" s="15"/>
      <x:c r="O433" s="15"/>
      <x:c r="P433" s="15"/>
      <x:c r="Q433" s="15" t="str">
        <x:v>New Solve</x:v>
      </x:c>
    </x:row>
    <x:row r="434">
      <x:c r="A434" s="15" t="n">
        <x:v>433</x:v>
      </x:c>
      <x:c r="B434" s="39" t="n">
        <x:v>46431</x:v>
      </x:c>
      <x:c r="C434" s="15" t="str">
        <x:v>Phase 3: 3/day</x:v>
      </x:c>
      <x:c r="D434" s="15" t="str">
        <x:v>Backtracking</x:v>
      </x:c>
      <x:c r="E434" s="15" t="str">
        <x:v>Medium</x:v>
      </x:c>
      <x:c r="F434" s="15" t="n">
        <x:v>40</x:v>
      </x:c>
      <x:c r="G434" s="15" t="str">
        <x:v>Combination Sum II</x:v>
      </x:c>
      <x:c r="H434" s="15" t="str">
        <x:v>https://leetcode.com/problems/combination-sum-ii/</x:v>
      </x:c>
      <x:c r="I434" s="15" t="str">
        <x:v>Not Started</x:v>
      </x:c>
      <x:c r="J434" s="39"/>
      <x:c r="K434" s="39"/>
      <x:c r="L434" s="39"/>
      <x:c r="M434" s="15"/>
      <x:c r="N434" s="15"/>
      <x:c r="O434" s="15"/>
      <x:c r="P434" s="15"/>
      <x:c r="Q434" s="15" t="str">
        <x:v>New Solve</x:v>
      </x:c>
    </x:row>
    <x:row r="435">
      <x:c r="A435" s="15" t="n">
        <x:v>434</x:v>
      </x:c>
      <x:c r="B435" s="39" t="n">
        <x:v>46431</x:v>
      </x:c>
      <x:c r="C435" s="15" t="str">
        <x:v>Phase 3: 3/day</x:v>
      </x:c>
      <x:c r="D435" s="15" t="str">
        <x:v>Backtracking</x:v>
      </x:c>
      <x:c r="E435" s="15" t="str">
        <x:v>Medium</x:v>
      </x:c>
      <x:c r="F435" s="15" t="n">
        <x:v>46</x:v>
      </x:c>
      <x:c r="G435" s="15" t="str">
        <x:v>Permutations</x:v>
      </x:c>
      <x:c r="H435" s="15" t="str">
        <x:v>https://leetcode.com/problems/permutations/</x:v>
      </x:c>
      <x:c r="I435" s="15" t="str">
        <x:v>Not Started</x:v>
      </x:c>
      <x:c r="J435" s="39"/>
      <x:c r="K435" s="39"/>
      <x:c r="L435" s="39"/>
      <x:c r="M435" s="15"/>
      <x:c r="N435" s="15"/>
      <x:c r="O435" s="15"/>
      <x:c r="P435" s="15"/>
      <x:c r="Q435" s="15" t="str">
        <x:v>New Solve</x:v>
      </x:c>
    </x:row>
    <x:row r="436">
      <x:c r="A436" s="15" t="n">
        <x:v>435</x:v>
      </x:c>
      <x:c r="B436" s="39" t="n">
        <x:v>46431</x:v>
      </x:c>
      <x:c r="C436" s="15" t="str">
        <x:v>Phase 3: 3/day</x:v>
      </x:c>
      <x:c r="D436" s="15" t="str">
        <x:v>Backtracking</x:v>
      </x:c>
      <x:c r="E436" s="15" t="str">
        <x:v>Medium</x:v>
      </x:c>
      <x:c r="F436" s="15" t="n">
        <x:v>47</x:v>
      </x:c>
      <x:c r="G436" s="15" t="str">
        <x:v>Permutations II</x:v>
      </x:c>
      <x:c r="H436" s="15" t="str">
        <x:v>https://leetcode.com/problems/permutations-ii/</x:v>
      </x:c>
      <x:c r="I436" s="15" t="str">
        <x:v>Not Started</x:v>
      </x:c>
      <x:c r="J436" s="39"/>
      <x:c r="K436" s="39"/>
      <x:c r="L436" s="39"/>
      <x:c r="M436" s="15"/>
      <x:c r="N436" s="15"/>
      <x:c r="O436" s="15"/>
      <x:c r="P436" s="15"/>
      <x:c r="Q436" s="15" t="str">
        <x:v>New Solve</x:v>
      </x:c>
    </x:row>
    <x:row r="437">
      <x:c r="A437" s="15" t="n">
        <x:v>436</x:v>
      </x:c>
      <x:c r="B437" s="39" t="n">
        <x:v>46432</x:v>
      </x:c>
      <x:c r="C437" s="15" t="str">
        <x:v>Phase 3: 3/day</x:v>
      </x:c>
      <x:c r="D437" s="15" t="str">
        <x:v>Backtracking</x:v>
      </x:c>
      <x:c r="E437" s="15" t="str">
        <x:v>Medium</x:v>
      </x:c>
      <x:c r="F437" s="15" t="n">
        <x:v>77</x:v>
      </x:c>
      <x:c r="G437" s="15" t="str">
        <x:v>Combinations</x:v>
      </x:c>
      <x:c r="H437" s="15" t="str">
        <x:v>https://leetcode.com/problems/combinations/</x:v>
      </x:c>
      <x:c r="I437" s="15" t="str">
        <x:v>Not Started</x:v>
      </x:c>
      <x:c r="J437" s="39"/>
      <x:c r="K437" s="39"/>
      <x:c r="L437" s="39"/>
      <x:c r="M437" s="15"/>
      <x:c r="N437" s="15"/>
      <x:c r="O437" s="15"/>
      <x:c r="P437" s="15"/>
      <x:c r="Q437" s="15" t="str">
        <x:v>New Solve</x:v>
      </x:c>
    </x:row>
    <x:row r="438">
      <x:c r="A438" s="15" t="n">
        <x:v>437</x:v>
      </x:c>
      <x:c r="B438" s="39" t="n">
        <x:v>46432</x:v>
      </x:c>
      <x:c r="C438" s="15" t="str">
        <x:v>Phase 3: 3/day</x:v>
      </x:c>
      <x:c r="D438" s="15" t="str">
        <x:v>Backtracking</x:v>
      </x:c>
      <x:c r="E438" s="15" t="str">
        <x:v>Medium</x:v>
      </x:c>
      <x:c r="F438" s="15" t="n">
        <x:v>78</x:v>
      </x:c>
      <x:c r="G438" s="15" t="str">
        <x:v>Subsets</x:v>
      </x:c>
      <x:c r="H438" s="15" t="str">
        <x:v>https://leetcode.com/problems/subsets/</x:v>
      </x:c>
      <x:c r="I438" s="15" t="str">
        <x:v>Not Started</x:v>
      </x:c>
      <x:c r="J438" s="39"/>
      <x:c r="K438" s="39"/>
      <x:c r="L438" s="39"/>
      <x:c r="M438" s="15"/>
      <x:c r="N438" s="15"/>
      <x:c r="O438" s="15"/>
      <x:c r="P438" s="15"/>
      <x:c r="Q438" s="15" t="str">
        <x:v>New Solve</x:v>
      </x:c>
    </x:row>
    <x:row r="439">
      <x:c r="A439" s="15" t="n">
        <x:v>438</x:v>
      </x:c>
      <x:c r="B439" s="39" t="n">
        <x:v>46432</x:v>
      </x:c>
      <x:c r="C439" s="15" t="str">
        <x:v>Phase 3: 3/day</x:v>
      </x:c>
      <x:c r="D439" s="15" t="str">
        <x:v>Backtracking</x:v>
      </x:c>
      <x:c r="E439" s="15" t="str">
        <x:v>Medium</x:v>
      </x:c>
      <x:c r="F439" s="15" t="n">
        <x:v>90</x:v>
      </x:c>
      <x:c r="G439" s="15" t="str">
        <x:v>Subsets II</x:v>
      </x:c>
      <x:c r="H439" s="15" t="str">
        <x:v>https://leetcode.com/problems/subsets-ii/</x:v>
      </x:c>
      <x:c r="I439" s="15" t="str">
        <x:v>Not Started</x:v>
      </x:c>
      <x:c r="J439" s="39"/>
      <x:c r="K439" s="39"/>
      <x:c r="L439" s="39"/>
      <x:c r="M439" s="15"/>
      <x:c r="N439" s="15"/>
      <x:c r="O439" s="15"/>
      <x:c r="P439" s="15"/>
      <x:c r="Q439" s="15" t="str">
        <x:v>New Solve</x:v>
      </x:c>
    </x:row>
    <x:row r="440">
      <x:c r="A440" s="15" t="n">
        <x:v>439</x:v>
      </x:c>
      <x:c r="B440" s="39" t="n">
        <x:v>46433</x:v>
      </x:c>
      <x:c r="C440" s="15" t="str">
        <x:v>Phase 3: 3/day</x:v>
      </x:c>
      <x:c r="D440" s="15" t="str">
        <x:v>Backtracking</x:v>
      </x:c>
      <x:c r="E440" s="15" t="str">
        <x:v>Medium</x:v>
      </x:c>
      <x:c r="F440" s="15" t="n">
        <x:v>93</x:v>
      </x:c>
      <x:c r="G440" s="15" t="str">
        <x:v>Restore IP Addresses</x:v>
      </x:c>
      <x:c r="H440" s="15" t="str">
        <x:v>https://leetcode.com/problems/restore-ip-addresses/</x:v>
      </x:c>
      <x:c r="I440" s="15" t="str">
        <x:v>Not Started</x:v>
      </x:c>
      <x:c r="J440" s="39"/>
      <x:c r="K440" s="39"/>
      <x:c r="L440" s="39"/>
      <x:c r="M440" s="15"/>
      <x:c r="N440" s="15"/>
      <x:c r="O440" s="15"/>
      <x:c r="P440" s="15"/>
      <x:c r="Q440" s="15" t="str">
        <x:v>New Solve</x:v>
      </x:c>
    </x:row>
    <x:row r="441">
      <x:c r="A441" s="15" t="n">
        <x:v>440</x:v>
      </x:c>
      <x:c r="B441" s="39" t="n">
        <x:v>46433</x:v>
      </x:c>
      <x:c r="C441" s="15" t="str">
        <x:v>Phase 3: 3/day</x:v>
      </x:c>
      <x:c r="D441" s="15" t="str">
        <x:v>Backtracking</x:v>
      </x:c>
      <x:c r="E441" s="15" t="str">
        <x:v>Medium</x:v>
      </x:c>
      <x:c r="F441" s="15" t="n">
        <x:v>131</x:v>
      </x:c>
      <x:c r="G441" s="15" t="str">
        <x:v>Palindrome Partitioning</x:v>
      </x:c>
      <x:c r="H441" s="15" t="str">
        <x:v>https://leetcode.com/problems/palindrome-partitioning/</x:v>
      </x:c>
      <x:c r="I441" s="15" t="str">
        <x:v>Not Started</x:v>
      </x:c>
      <x:c r="J441" s="39"/>
      <x:c r="K441" s="39"/>
      <x:c r="L441" s="39"/>
      <x:c r="M441" s="15"/>
      <x:c r="N441" s="15"/>
      <x:c r="O441" s="15"/>
      <x:c r="P441" s="15"/>
      <x:c r="Q441" s="15" t="str">
        <x:v>New Solve</x:v>
      </x:c>
    </x:row>
    <x:row r="442">
      <x:c r="A442" s="15" t="n">
        <x:v>441</x:v>
      </x:c>
      <x:c r="B442" s="39" t="n">
        <x:v>46433</x:v>
      </x:c>
      <x:c r="C442" s="15" t="str">
        <x:v>Phase 3: 3/day</x:v>
      </x:c>
      <x:c r="D442" s="15" t="str">
        <x:v>Backtracking</x:v>
      </x:c>
      <x:c r="E442" s="15" t="str">
        <x:v>Medium</x:v>
      </x:c>
      <x:c r="F442" s="15" t="n">
        <x:v>216</x:v>
      </x:c>
      <x:c r="G442" s="15" t="str">
        <x:v>Combination Sum III</x:v>
      </x:c>
      <x:c r="H442" s="15" t="str">
        <x:v>https://leetcode.com/problems/combination-sum-iii/</x:v>
      </x:c>
      <x:c r="I442" s="15" t="str">
        <x:v>Not Started</x:v>
      </x:c>
      <x:c r="J442" s="39"/>
      <x:c r="K442" s="39"/>
      <x:c r="L442" s="39"/>
      <x:c r="M442" s="15"/>
      <x:c r="N442" s="15"/>
      <x:c r="O442" s="15"/>
      <x:c r="P442" s="15"/>
      <x:c r="Q442" s="15" t="str">
        <x:v>New Solve</x:v>
      </x:c>
    </x:row>
    <x:row r="443">
      <x:c r="A443" s="15" t="n">
        <x:v>442</x:v>
      </x:c>
      <x:c r="B443" s="39" t="n">
        <x:v>46434</x:v>
      </x:c>
      <x:c r="C443" s="15" t="str">
        <x:v>Phase 3: 3/day</x:v>
      </x:c>
      <x:c r="D443" s="15" t="str">
        <x:v>Backtracking</x:v>
      </x:c>
      <x:c r="E443" s="15" t="str">
        <x:v>Hard</x:v>
      </x:c>
      <x:c r="F443" s="15" t="n">
        <x:v>301</x:v>
      </x:c>
      <x:c r="G443" s="15" t="str">
        <x:v>Remove Invalid Parentheses</x:v>
      </x:c>
      <x:c r="H443" s="15" t="str">
        <x:v>https://leetcode.com/problems/remove-invalid-parentheses/</x:v>
      </x:c>
      <x:c r="I443" s="15" t="str">
        <x:v>Not Started</x:v>
      </x:c>
      <x:c r="J443" s="39"/>
      <x:c r="K443" s="39"/>
      <x:c r="L443" s="39"/>
      <x:c r="M443" s="15"/>
      <x:c r="N443" s="15"/>
      <x:c r="O443" s="15"/>
      <x:c r="P443" s="15"/>
      <x:c r="Q443" s="15" t="str">
        <x:v>New Solve</x:v>
      </x:c>
    </x:row>
    <x:row r="444">
      <x:c r="A444" s="15" t="n">
        <x:v>443</x:v>
      </x:c>
      <x:c r="B444" s="39" t="n">
        <x:v>46434</x:v>
      </x:c>
      <x:c r="C444" s="15" t="str">
        <x:v>Phase 3: 3/day</x:v>
      </x:c>
      <x:c r="D444" s="15" t="str">
        <x:v>Backtracking</x:v>
      </x:c>
      <x:c r="E444" s="15" t="str">
        <x:v>Medium</x:v>
      </x:c>
      <x:c r="F444" s="15" t="n">
        <x:v>306</x:v>
      </x:c>
      <x:c r="G444" s="15" t="str">
        <x:v>Additive Number</x:v>
      </x:c>
      <x:c r="H444" s="15" t="str">
        <x:v>https://leetcode.com/problems/additive-number/</x:v>
      </x:c>
      <x:c r="I444" s="15" t="str">
        <x:v>Not Started</x:v>
      </x:c>
      <x:c r="J444" s="39"/>
      <x:c r="K444" s="39"/>
      <x:c r="L444" s="39"/>
      <x:c r="M444" s="15"/>
      <x:c r="N444" s="15"/>
      <x:c r="O444" s="15"/>
      <x:c r="P444" s="15"/>
      <x:c r="Q444" s="15" t="str">
        <x:v>New Solve</x:v>
      </x:c>
    </x:row>
    <x:row r="445">
      <x:c r="A445" s="15" t="n">
        <x:v>444</x:v>
      </x:c>
      <x:c r="B445" s="39" t="n">
        <x:v>46434</x:v>
      </x:c>
      <x:c r="C445" s="15" t="str">
        <x:v>Phase 3: 3/day</x:v>
      </x:c>
      <x:c r="D445" s="15" t="str">
        <x:v>Backtracking</x:v>
      </x:c>
      <x:c r="E445" s="15" t="str">
        <x:v>Medium</x:v>
      </x:c>
      <x:c r="F445" s="15" t="n">
        <x:v>491</x:v>
      </x:c>
      <x:c r="G445" s="15" t="str">
        <x:v>Non-decreasing Subsequences</x:v>
      </x:c>
      <x:c r="H445" s="15" t="str">
        <x:v>https://leetcode.com/problems/non-decreasing-subsequences/</x:v>
      </x:c>
      <x:c r="I445" s="15" t="str">
        <x:v>Not Started</x:v>
      </x:c>
      <x:c r="J445" s="39"/>
      <x:c r="K445" s="39"/>
      <x:c r="L445" s="39"/>
      <x:c r="M445" s="15"/>
      <x:c r="N445" s="15"/>
      <x:c r="O445" s="15"/>
      <x:c r="P445" s="15"/>
      <x:c r="Q445" s="15" t="str">
        <x:v>New Solve</x:v>
      </x:c>
    </x:row>
    <x:row r="446">
      <x:c r="A446" s="15" t="n">
        <x:v>445</x:v>
      </x:c>
      <x:c r="B446" s="39" t="n">
        <x:v>46435</x:v>
      </x:c>
      <x:c r="C446" s="15" t="str">
        <x:v>Phase 3: 3/day</x:v>
      </x:c>
      <x:c r="D446" s="15" t="str">
        <x:v>Backtracking</x:v>
      </x:c>
      <x:c r="E446" s="15" t="str">
        <x:v>Medium</x:v>
      </x:c>
      <x:c r="F446" s="15" t="n">
        <x:v>526</x:v>
      </x:c>
      <x:c r="G446" s="15" t="str">
        <x:v>Beautiful Arrangement</x:v>
      </x:c>
      <x:c r="H446" s="15" t="str">
        <x:v>https://leetcode.com/problems/beautiful-arrangement/</x:v>
      </x:c>
      <x:c r="I446" s="15" t="str">
        <x:v>Not Started</x:v>
      </x:c>
      <x:c r="J446" s="39"/>
      <x:c r="K446" s="39"/>
      <x:c r="L446" s="39"/>
      <x:c r="M446" s="15"/>
      <x:c r="N446" s="15"/>
      <x:c r="O446" s="15"/>
      <x:c r="P446" s="15"/>
      <x:c r="Q446" s="15" t="str">
        <x:v>New Solve</x:v>
      </x:c>
    </x:row>
    <x:row r="447">
      <x:c r="A447" s="15" t="n">
        <x:v>446</x:v>
      </x:c>
      <x:c r="B447" s="39" t="n">
        <x:v>46435</x:v>
      </x:c>
      <x:c r="C447" s="15" t="str">
        <x:v>Phase 3: 3/day</x:v>
      </x:c>
      <x:c r="D447" s="15" t="str">
        <x:v>Backtracking</x:v>
      </x:c>
      <x:c r="E447" s="15" t="str">
        <x:v>Medium</x:v>
      </x:c>
      <x:c r="F447" s="15" t="n">
        <x:v>698</x:v>
      </x:c>
      <x:c r="G447" s="15" t="str">
        <x:v>Partition to K Equal Sum Subsets</x:v>
      </x:c>
      <x:c r="H447" s="15" t="str">
        <x:v>https://leetcode.com/problems/partition-to-k-equal-sum-subsets/</x:v>
      </x:c>
      <x:c r="I447" s="15" t="str">
        <x:v>Not Started</x:v>
      </x:c>
      <x:c r="J447" s="39"/>
      <x:c r="K447" s="39"/>
      <x:c r="L447" s="39"/>
      <x:c r="M447" s="15"/>
      <x:c r="N447" s="15"/>
      <x:c r="O447" s="15"/>
      <x:c r="P447" s="15"/>
      <x:c r="Q447" s="15" t="str">
        <x:v>New Solve</x:v>
      </x:c>
    </x:row>
    <x:row r="448">
      <x:c r="A448" s="15" t="n">
        <x:v>447</x:v>
      </x:c>
      <x:c r="B448" s="39" t="n">
        <x:v>46435</x:v>
      </x:c>
      <x:c r="C448" s="15" t="str">
        <x:v>Phase 3: 3/day</x:v>
      </x:c>
      <x:c r="D448" s="15" t="str">
        <x:v>Backtracking</x:v>
      </x:c>
      <x:c r="E448" s="15" t="str">
        <x:v>Medium</x:v>
      </x:c>
      <x:c r="F448" s="15" t="n">
        <x:v>784</x:v>
      </x:c>
      <x:c r="G448" s="15" t="str">
        <x:v>Letter Case Permutation</x:v>
      </x:c>
      <x:c r="H448" s="15" t="str">
        <x:v>https://leetcode.com/problems/letter-case-permutation/</x:v>
      </x:c>
      <x:c r="I448" s="15" t="str">
        <x:v>Not Started</x:v>
      </x:c>
      <x:c r="J448" s="39"/>
      <x:c r="K448" s="39"/>
      <x:c r="L448" s="39"/>
      <x:c r="M448" s="15"/>
      <x:c r="N448" s="15"/>
      <x:c r="O448" s="15"/>
      <x:c r="P448" s="15"/>
      <x:c r="Q448" s="15" t="str">
        <x:v>New Solve</x:v>
      </x:c>
    </x:row>
    <x:row r="449">
      <x:c r="A449" s="15" t="n">
        <x:v>448</x:v>
      </x:c>
      <x:c r="B449" s="39" t="n">
        <x:v>46436</x:v>
      </x:c>
      <x:c r="C449" s="15" t="str">
        <x:v>Phase 3: 3/day</x:v>
      </x:c>
      <x:c r="D449" s="15" t="str">
        <x:v>Backtracking</x:v>
      </x:c>
      <x:c r="E449" s="15" t="str">
        <x:v>Medium</x:v>
      </x:c>
      <x:c r="F449" s="15" t="n">
        <x:v>79</x:v>
      </x:c>
      <x:c r="G449" s="15" t="str">
        <x:v>Word Search</x:v>
      </x:c>
      <x:c r="H449" s="15" t="str">
        <x:v>https://leetcode.com/problems/word-search/</x:v>
      </x:c>
      <x:c r="I449" s="15" t="str">
        <x:v>Not Started</x:v>
      </x:c>
      <x:c r="J449" s="39"/>
      <x:c r="K449" s="39"/>
      <x:c r="L449" s="39"/>
      <x:c r="M449" s="15"/>
      <x:c r="N449" s="15"/>
      <x:c r="O449" s="15"/>
      <x:c r="P449" s="15"/>
      <x:c r="Q449" s="15" t="str">
        <x:v>New Solve</x:v>
      </x:c>
    </x:row>
    <x:row r="450">
      <x:c r="A450" s="15" t="n">
        <x:v>449</x:v>
      </x:c>
      <x:c r="B450" s="39" t="n">
        <x:v>46436</x:v>
      </x:c>
      <x:c r="C450" s="15" t="str">
        <x:v>Phase 3: 3/day</x:v>
      </x:c>
      <x:c r="D450" s="15" t="str">
        <x:v>Backtracking</x:v>
      </x:c>
      <x:c r="E450" s="15" t="str">
        <x:v>Hard</x:v>
      </x:c>
      <x:c r="F450" s="15" t="n">
        <x:v>212</x:v>
      </x:c>
      <x:c r="G450" s="15" t="str">
        <x:v>Word Search II</x:v>
      </x:c>
      <x:c r="H450" s="15" t="str">
        <x:v>https://leetcode.com/problems/word-search-ii/</x:v>
      </x:c>
      <x:c r="I450" s="15" t="str">
        <x:v>Not Started</x:v>
      </x:c>
      <x:c r="J450" s="39"/>
      <x:c r="K450" s="39"/>
      <x:c r="L450" s="39"/>
      <x:c r="M450" s="15"/>
      <x:c r="N450" s="15"/>
      <x:c r="O450" s="15"/>
      <x:c r="P450" s="15"/>
      <x:c r="Q450" s="15" t="str">
        <x:v>New Solve</x:v>
      </x:c>
    </x:row>
    <x:row r="451">
      <x:c r="A451" s="15" t="n">
        <x:v>450</x:v>
      </x:c>
      <x:c r="B451" s="39" t="n">
        <x:v>46436</x:v>
      </x:c>
      <x:c r="C451" s="15" t="str">
        <x:v>Phase 3: 3/day</x:v>
      </x:c>
      <x:c r="D451" s="15" t="str">
        <x:v>Backtracking</x:v>
      </x:c>
      <x:c r="E451" s="15" t="str">
        <x:v>Hard</x:v>
      </x:c>
      <x:c r="F451" s="15" t="n">
        <x:v>51</x:v>
      </x:c>
      <x:c r="G451" s="15" t="str">
        <x:v>N-Queens</x:v>
      </x:c>
      <x:c r="H451" s="15" t="str">
        <x:v>https://leetcode.com/problems/n-queens/</x:v>
      </x:c>
      <x:c r="I451" s="15" t="str">
        <x:v>Not Started</x:v>
      </x:c>
      <x:c r="J451" s="39"/>
      <x:c r="K451" s="39"/>
      <x:c r="L451" s="39"/>
      <x:c r="M451" s="15"/>
      <x:c r="N451" s="15"/>
      <x:c r="O451" s="15"/>
      <x:c r="P451" s="15"/>
      <x:c r="Q451" s="15" t="str">
        <x:v>New Solve</x:v>
      </x:c>
    </x:row>
    <x:row r="452">
      <x:c r="A452" s="15" t="n">
        <x:v>451</x:v>
      </x:c>
      <x:c r="B452" s="39" t="n">
        <x:v>46437</x:v>
      </x:c>
      <x:c r="C452" s="15" t="str">
        <x:v>Phase 3: 3/day</x:v>
      </x:c>
      <x:c r="D452" s="15" t="str">
        <x:v>Backtracking</x:v>
      </x:c>
      <x:c r="E452" s="15" t="str">
        <x:v>Hard</x:v>
      </x:c>
      <x:c r="F452" s="15" t="n">
        <x:v>52</x:v>
      </x:c>
      <x:c r="G452" s="15" t="str">
        <x:v>N-Queens II</x:v>
      </x:c>
      <x:c r="H452" s="15" t="str">
        <x:v>https://leetcode.com/problems/n-queens-ii/</x:v>
      </x:c>
      <x:c r="I452" s="15" t="str">
        <x:v>Not Started</x:v>
      </x:c>
      <x:c r="J452" s="39"/>
      <x:c r="K452" s="39"/>
      <x:c r="L452" s="39"/>
      <x:c r="M452" s="15"/>
      <x:c r="N452" s="15"/>
      <x:c r="O452" s="15"/>
      <x:c r="P452" s="15"/>
      <x:c r="Q452" s="15" t="str">
        <x:v>New Solve</x:v>
      </x:c>
    </x:row>
    <x:row r="453">
      <x:c r="A453" s="15" t="n">
        <x:v>452</x:v>
      </x:c>
      <x:c r="B453" s="39" t="n">
        <x:v>46437</x:v>
      </x:c>
      <x:c r="C453" s="15" t="str">
        <x:v>Phase 3: 3/day</x:v>
      </x:c>
      <x:c r="D453" s="15" t="str">
        <x:v>Backtracking</x:v>
      </x:c>
      <x:c r="E453" s="15" t="str">
        <x:v>Hard</x:v>
      </x:c>
      <x:c r="F453" s="15" t="n">
        <x:v>37</x:v>
      </x:c>
      <x:c r="G453" s="15" t="str">
        <x:v>Sudoku Solver</x:v>
      </x:c>
      <x:c r="H453" s="15" t="str">
        <x:v>https://leetcode.com/problems/sudoku-solver/</x:v>
      </x:c>
      <x:c r="I453" s="15" t="str">
        <x:v>Not Started</x:v>
      </x:c>
      <x:c r="J453" s="39"/>
      <x:c r="K453" s="39"/>
      <x:c r="L453" s="39"/>
      <x:c r="M453" s="15"/>
      <x:c r="N453" s="15"/>
      <x:c r="O453" s="15"/>
      <x:c r="P453" s="15"/>
      <x:c r="Q453" s="15" t="str">
        <x:v>New Solve</x:v>
      </x:c>
    </x:row>
    <x:row r="454">
      <x:c r="A454" s="15" t="n">
        <x:v>453</x:v>
      </x:c>
      <x:c r="B454" s="39" t="n">
        <x:v>46437</x:v>
      </x:c>
      <x:c r="C454" s="15" t="str">
        <x:v>Phase 3: 3/day</x:v>
      </x:c>
      <x:c r="D454" s="15" t="str">
        <x:v>Backtracking</x:v>
      </x:c>
      <x:c r="E454" s="15" t="str">
        <x:v>Hard</x:v>
      </x:c>
      <x:c r="F454" s="15" t="n">
        <x:v>282</x:v>
      </x:c>
      <x:c r="G454" s="15" t="str">
        <x:v>Expression Add Operators</x:v>
      </x:c>
      <x:c r="H454" s="15" t="str">
        <x:v>https://leetcode.com/problems/expression-add-operators/</x:v>
      </x:c>
      <x:c r="I454" s="15" t="str">
        <x:v>Not Started</x:v>
      </x:c>
      <x:c r="J454" s="39"/>
      <x:c r="K454" s="39"/>
      <x:c r="L454" s="39"/>
      <x:c r="M454" s="15"/>
      <x:c r="N454" s="15"/>
      <x:c r="O454" s="15"/>
      <x:c r="P454" s="15"/>
      <x:c r="Q454" s="15" t="str">
        <x:v>New Solve</x:v>
      </x:c>
    </x:row>
    <x:row r="455">
      <x:c r="A455" s="15" t="n">
        <x:v>454</x:v>
      </x:c>
      <x:c r="B455" s="39" t="n">
        <x:v>46438</x:v>
      </x:c>
      <x:c r="C455" s="15" t="str">
        <x:v>Phase 3: 3/day</x:v>
      </x:c>
      <x:c r="D455" s="15" t="str">
        <x:v>Backtracking</x:v>
      </x:c>
      <x:c r="E455" s="15" t="str">
        <x:v>Medium</x:v>
      </x:c>
      <x:c r="F455" s="15" t="n">
        <x:v>357</x:v>
      </x:c>
      <x:c r="G455" s="15" t="str">
        <x:v>Count Numbers with Unique Digits</x:v>
      </x:c>
      <x:c r="H455" s="15" t="str">
        <x:v>https://leetcode.com/problems/count-numbers-with-unique-digits/</x:v>
      </x:c>
      <x:c r="I455" s="15" t="str">
        <x:v>Not Started</x:v>
      </x:c>
      <x:c r="J455" s="39"/>
      <x:c r="K455" s="39"/>
      <x:c r="L455" s="39"/>
      <x:c r="M455" s="15"/>
      <x:c r="N455" s="15"/>
      <x:c r="O455" s="15"/>
      <x:c r="P455" s="15"/>
      <x:c r="Q455" s="15" t="str">
        <x:v>New Solve</x:v>
      </x:c>
    </x:row>
    <x:row r="456">
      <x:c r="A456" s="15" t="n">
        <x:v>455</x:v>
      </x:c>
      <x:c r="B456" s="39" t="n">
        <x:v>46438</x:v>
      </x:c>
      <x:c r="C456" s="15" t="str">
        <x:v>Phase 3: 3/day</x:v>
      </x:c>
      <x:c r="D456" s="15" t="str">
        <x:v>Backtracking</x:v>
      </x:c>
      <x:c r="E456" s="15" t="str">
        <x:v>Easy</x:v>
      </x:c>
      <x:c r="F456" s="15" t="n">
        <x:v>401</x:v>
      </x:c>
      <x:c r="G456" s="15" t="str">
        <x:v>Binary Watch</x:v>
      </x:c>
      <x:c r="H456" s="15" t="str">
        <x:v>https://leetcode.com/problems/binary-watch/</x:v>
      </x:c>
      <x:c r="I456" s="15" t="str">
        <x:v>Not Started</x:v>
      </x:c>
      <x:c r="J456" s="39"/>
      <x:c r="K456" s="39"/>
      <x:c r="L456" s="39"/>
      <x:c r="M456" s="15"/>
      <x:c r="N456" s="15"/>
      <x:c r="O456" s="15"/>
      <x:c r="P456" s="15"/>
      <x:c r="Q456" s="15" t="str">
        <x:v>New Solve</x:v>
      </x:c>
    </x:row>
    <x:row r="457">
      <x:c r="A457" s="15" t="n">
        <x:v>456</x:v>
      </x:c>
      <x:c r="B457" s="39" t="n">
        <x:v>46438</x:v>
      </x:c>
      <x:c r="C457" s="15" t="str">
        <x:v>Phase 3: 3/day</x:v>
      </x:c>
      <x:c r="D457" s="15" t="str">
        <x:v>Trie</x:v>
      </x:c>
      <x:c r="E457" s="15" t="str">
        <x:v>Medium</x:v>
      </x:c>
      <x:c r="F457" s="15" t="n">
        <x:v>208</x:v>
      </x:c>
      <x:c r="G457" s="15" t="str">
        <x:v>Implement Trie (Prefix Tree)</x:v>
      </x:c>
      <x:c r="H457" s="15" t="str">
        <x:v>https://leetcode.com/problems/implement-trie-prefix-tree/</x:v>
      </x:c>
      <x:c r="I457" s="15" t="str">
        <x:v>Not Started</x:v>
      </x:c>
      <x:c r="J457" s="39"/>
      <x:c r="K457" s="39"/>
      <x:c r="L457" s="39"/>
      <x:c r="M457" s="15" t="str"/>
      <x:c r="N457" s="15" t="str"/>
      <x:c r="O457" s="15" t="str"/>
      <x:c r="P457" s="15" t="str"/>
      <x:c r="Q457" s="15" t="str">
        <x:v>New Solve</x:v>
      </x:c>
    </x:row>
    <x:row r="458">
      <x:c r="A458" s="15" t="n">
        <x:v>457</x:v>
      </x:c>
      <x:c r="B458" s="39" t="n">
        <x:v>46439</x:v>
      </x:c>
      <x:c r="C458" s="15" t="str">
        <x:v>Phase 3: 3/day</x:v>
      </x:c>
      <x:c r="D458" s="15" t="str">
        <x:v>Trie</x:v>
      </x:c>
      <x:c r="E458" s="15" t="str">
        <x:v>Medium</x:v>
      </x:c>
      <x:c r="F458" s="15" t="n">
        <x:v>211</x:v>
      </x:c>
      <x:c r="G458" s="15" t="str">
        <x:v>Design Add and Search Words Data Structure</x:v>
      </x:c>
      <x:c r="H458" s="15" t="str">
        <x:v>https://leetcode.com/problems/design-add-and-search-words-data-structure/</x:v>
      </x:c>
      <x:c r="I458" s="15" t="str">
        <x:v>Not Started</x:v>
      </x:c>
      <x:c r="J458" s="39"/>
      <x:c r="K458" s="39"/>
      <x:c r="L458" s="39"/>
      <x:c r="M458" s="15" t="str"/>
      <x:c r="N458" s="15" t="str"/>
      <x:c r="O458" s="15" t="str"/>
      <x:c r="P458" s="15" t="str"/>
      <x:c r="Q458" s="15" t="str">
        <x:v>New Solve</x:v>
      </x:c>
    </x:row>
    <x:row r="459">
      <x:c r="A459" s="15" t="n">
        <x:v>458</x:v>
      </x:c>
      <x:c r="B459" s="39" t="n">
        <x:v>46439</x:v>
      </x:c>
      <x:c r="C459" s="15" t="str">
        <x:v>Phase 3: 3/day</x:v>
      </x:c>
      <x:c r="D459" s="15" t="str">
        <x:v>Trie</x:v>
      </x:c>
      <x:c r="E459" s="15" t="str">
        <x:v>Hard</x:v>
      </x:c>
      <x:c r="F459" s="15" t="n">
        <x:v>336</x:v>
      </x:c>
      <x:c r="G459" s="15" t="str">
        <x:v>Palindrome Pairs</x:v>
      </x:c>
      <x:c r="H459" s="15" t="str">
        <x:v>https://leetcode.com/problems/palindrome-pairs/</x:v>
      </x:c>
      <x:c r="I459" s="15" t="str">
        <x:v>Not Started</x:v>
      </x:c>
      <x:c r="J459" s="39"/>
      <x:c r="K459" s="39"/>
      <x:c r="L459" s="39"/>
      <x:c r="M459" s="15" t="str"/>
      <x:c r="N459" s="15" t="str"/>
      <x:c r="O459" s="15" t="str"/>
      <x:c r="P459" s="15" t="str"/>
      <x:c r="Q459" s="15" t="str">
        <x:v>New Solve</x:v>
      </x:c>
    </x:row>
    <x:row r="460">
      <x:c r="A460" s="15" t="n">
        <x:v>459</x:v>
      </x:c>
      <x:c r="B460" s="39" t="n">
        <x:v>46439</x:v>
      </x:c>
      <x:c r="C460" s="15" t="str">
        <x:v>Phase 3: 3/day</x:v>
      </x:c>
      <x:c r="D460" s="15" t="str">
        <x:v>Trie</x:v>
      </x:c>
      <x:c r="E460" s="15" t="str">
        <x:v>Medium</x:v>
      </x:c>
      <x:c r="F460" s="15" t="n">
        <x:v>421</x:v>
      </x:c>
      <x:c r="G460" s="15" t="str">
        <x:v>Maximum XOR of Two Numbers in an Array</x:v>
      </x:c>
      <x:c r="H460" s="15" t="str">
        <x:v>https://leetcode.com/problems/maximum-xor-of-two-numbers-in-an-array/</x:v>
      </x:c>
      <x:c r="I460" s="15" t="str">
        <x:v>Not Started</x:v>
      </x:c>
      <x:c r="J460" s="39"/>
      <x:c r="K460" s="39"/>
      <x:c r="L460" s="39"/>
      <x:c r="M460" s="15" t="str"/>
      <x:c r="N460" s="15" t="str"/>
      <x:c r="O460" s="15" t="str"/>
      <x:c r="P460" s="15" t="str"/>
      <x:c r="Q460" s="15" t="str">
        <x:v>New Solve</x:v>
      </x:c>
    </x:row>
    <x:row r="461">
      <x:c r="A461" s="15" t="n">
        <x:v>460</x:v>
      </x:c>
      <x:c r="B461" s="39" t="n">
        <x:v>46440</x:v>
      </x:c>
      <x:c r="C461" s="15" t="str">
        <x:v>Phase 3: 3/day</x:v>
      </x:c>
      <x:c r="D461" s="15" t="str">
        <x:v>Trie</x:v>
      </x:c>
      <x:c r="E461" s="15" t="str">
        <x:v>Hard</x:v>
      </x:c>
      <x:c r="F461" s="15" t="n">
        <x:v>472</x:v>
      </x:c>
      <x:c r="G461" s="15" t="str">
        <x:v>Concatenated Words</x:v>
      </x:c>
      <x:c r="H461" s="15" t="str">
        <x:v>https://leetcode.com/problems/concatenated-words/</x:v>
      </x:c>
      <x:c r="I461" s="15" t="str">
        <x:v>Not Started</x:v>
      </x:c>
      <x:c r="J461" s="39"/>
      <x:c r="K461" s="39"/>
      <x:c r="L461" s="39"/>
      <x:c r="M461" s="15" t="str"/>
      <x:c r="N461" s="15" t="str"/>
      <x:c r="O461" s="15" t="str"/>
      <x:c r="P461" s="15" t="str"/>
      <x:c r="Q461" s="15" t="str">
        <x:v>New Solve</x:v>
      </x:c>
    </x:row>
    <x:row r="462">
      <x:c r="A462" s="15" t="n">
        <x:v>461</x:v>
      </x:c>
      <x:c r="B462" s="39" t="n">
        <x:v>46440</x:v>
      </x:c>
      <x:c r="C462" s="15" t="str">
        <x:v>Phase 3: 3/day</x:v>
      </x:c>
      <x:c r="D462" s="15" t="str">
        <x:v>Trie</x:v>
      </x:c>
      <x:c r="E462" s="15" t="str">
        <x:v>Medium</x:v>
      </x:c>
      <x:c r="F462" s="15" t="n">
        <x:v>648</x:v>
      </x:c>
      <x:c r="G462" s="15" t="str">
        <x:v>Replace Words</x:v>
      </x:c>
      <x:c r="H462" s="15" t="str">
        <x:v>https://leetcode.com/problems/replace-words/</x:v>
      </x:c>
      <x:c r="I462" s="15" t="str">
        <x:v>Not Started</x:v>
      </x:c>
      <x:c r="J462" s="39"/>
      <x:c r="K462" s="39"/>
      <x:c r="L462" s="39"/>
      <x:c r="M462" s="15" t="str"/>
      <x:c r="N462" s="15" t="str"/>
      <x:c r="O462" s="15" t="str"/>
      <x:c r="P462" s="15" t="str"/>
      <x:c r="Q462" s="15" t="str">
        <x:v>New Solve</x:v>
      </x:c>
    </x:row>
    <x:row r="463">
      <x:c r="A463" s="15" t="n">
        <x:v>462</x:v>
      </x:c>
      <x:c r="B463" s="39" t="n">
        <x:v>46440</x:v>
      </x:c>
      <x:c r="C463" s="15" t="str">
        <x:v>Phase 3: 3/day</x:v>
      </x:c>
      <x:c r="D463" s="15" t="str">
        <x:v>Trie</x:v>
      </x:c>
      <x:c r="E463" s="15" t="str">
        <x:v>Medium</x:v>
      </x:c>
      <x:c r="F463" s="15" t="n">
        <x:v>676</x:v>
      </x:c>
      <x:c r="G463" s="15" t="str">
        <x:v>Implement Magic Dictionary</x:v>
      </x:c>
      <x:c r="H463" s="15" t="str">
        <x:v>https://leetcode.com/problems/implement-magic-dictionary/</x:v>
      </x:c>
      <x:c r="I463" s="15" t="str">
        <x:v>Not Started</x:v>
      </x:c>
      <x:c r="J463" s="39"/>
      <x:c r="K463" s="39"/>
      <x:c r="L463" s="39"/>
      <x:c r="M463" s="15" t="str"/>
      <x:c r="N463" s="15" t="str"/>
      <x:c r="O463" s="15" t="str"/>
      <x:c r="P463" s="15" t="str"/>
      <x:c r="Q463" s="15" t="str">
        <x:v>New Solve</x:v>
      </x:c>
    </x:row>
    <x:row r="464">
      <x:c r="A464" s="15" t="n">
        <x:v>463</x:v>
      </x:c>
      <x:c r="B464" s="39" t="n">
        <x:v>46441</x:v>
      </x:c>
      <x:c r="C464" s="15" t="str">
        <x:v>Phase 3: 3/day</x:v>
      </x:c>
      <x:c r="D464" s="15" t="str">
        <x:v>Trie</x:v>
      </x:c>
      <x:c r="E464" s="15" t="str">
        <x:v>Medium</x:v>
      </x:c>
      <x:c r="F464" s="15" t="n">
        <x:v>677</x:v>
      </x:c>
      <x:c r="G464" s="15" t="str">
        <x:v>Map Sum Pairs</x:v>
      </x:c>
      <x:c r="H464" s="15" t="str">
        <x:v>https://leetcode.com/problems/map-sum-pairs/</x:v>
      </x:c>
      <x:c r="I464" s="15" t="str">
        <x:v>Not Started</x:v>
      </x:c>
      <x:c r="J464" s="39"/>
      <x:c r="K464" s="39"/>
      <x:c r="L464" s="39"/>
      <x:c r="M464" s="15" t="str"/>
      <x:c r="N464" s="15" t="str"/>
      <x:c r="O464" s="15" t="str"/>
      <x:c r="P464" s="15" t="str"/>
      <x:c r="Q464" s="15" t="str">
        <x:v>New Solve</x:v>
      </x:c>
    </x:row>
    <x:row r="465">
      <x:c r="A465" s="15" t="n">
        <x:v>464</x:v>
      </x:c>
      <x:c r="B465" s="39" t="n">
        <x:v>46441</x:v>
      </x:c>
      <x:c r="C465" s="15" t="str">
        <x:v>Phase 3: 3/day</x:v>
      </x:c>
      <x:c r="D465" s="15" t="str">
        <x:v>Trie</x:v>
      </x:c>
      <x:c r="E465" s="15" t="str">
        <x:v>Medium</x:v>
      </x:c>
      <x:c r="F465" s="15" t="n">
        <x:v>720</x:v>
      </x:c>
      <x:c r="G465" s="15" t="str">
        <x:v>Longest Word in Dictionary</x:v>
      </x:c>
      <x:c r="H465" s="15" t="str">
        <x:v>https://leetcode.com/problems/longest-word-in-dictionary/</x:v>
      </x:c>
      <x:c r="I465" s="15" t="str">
        <x:v>Not Started</x:v>
      </x:c>
      <x:c r="J465" s="39"/>
      <x:c r="K465" s="39"/>
      <x:c r="L465" s="39"/>
      <x:c r="M465" s="15" t="str"/>
      <x:c r="N465" s="15" t="str"/>
      <x:c r="O465" s="15" t="str"/>
      <x:c r="P465" s="15" t="str"/>
      <x:c r="Q465" s="15" t="str">
        <x:v>New Solve</x:v>
      </x:c>
    </x:row>
    <x:row r="466">
      <x:c r="A466" s="15" t="n">
        <x:v>465</x:v>
      </x:c>
      <x:c r="B466" s="39" t="n">
        <x:v>46441</x:v>
      </x:c>
      <x:c r="C466" s="15" t="str">
        <x:v>Phase 3: 3/day</x:v>
      </x:c>
      <x:c r="D466" s="15" t="str">
        <x:v>Trie</x:v>
      </x:c>
      <x:c r="E466" s="15" t="str">
        <x:v>Hard</x:v>
      </x:c>
      <x:c r="F466" s="15" t="n">
        <x:v>745</x:v>
      </x:c>
      <x:c r="G466" s="15" t="str">
        <x:v>Prefix and Suffix Search</x:v>
      </x:c>
      <x:c r="H466" s="15" t="str">
        <x:v>https://leetcode.com/problems/prefix-and-suffix-search/</x:v>
      </x:c>
      <x:c r="I466" s="15" t="str">
        <x:v>Not Started</x:v>
      </x:c>
      <x:c r="J466" s="39"/>
      <x:c r="K466" s="39"/>
      <x:c r="L466" s="39"/>
      <x:c r="M466" s="15" t="str"/>
      <x:c r="N466" s="15" t="str"/>
      <x:c r="O466" s="15" t="str"/>
      <x:c r="P466" s="15" t="str"/>
      <x:c r="Q466" s="15" t="str">
        <x:v>New Solve</x:v>
      </x:c>
    </x:row>
    <x:row r="467">
      <x:c r="A467" s="15" t="n">
        <x:v>466</x:v>
      </x:c>
      <x:c r="B467" s="39" t="n">
        <x:v>46442</x:v>
      </x:c>
      <x:c r="C467" s="15" t="str">
        <x:v>Phase 3: 3/day</x:v>
      </x:c>
      <x:c r="D467" s="15" t="str">
        <x:v>Trie</x:v>
      </x:c>
      <x:c r="E467" s="15" t="str">
        <x:v>Medium</x:v>
      </x:c>
      <x:c r="F467" s="15" t="n">
        <x:v>820</x:v>
      </x:c>
      <x:c r="G467" s="15" t="str">
        <x:v>Short Encoding of Words</x:v>
      </x:c>
      <x:c r="H467" s="15" t="str">
        <x:v>https://leetcode.com/problems/short-encoding-of-words/</x:v>
      </x:c>
      <x:c r="I467" s="15" t="str">
        <x:v>Not Started</x:v>
      </x:c>
      <x:c r="J467" s="39"/>
      <x:c r="K467" s="39"/>
      <x:c r="L467" s="39"/>
      <x:c r="M467" s="15" t="str"/>
      <x:c r="N467" s="15" t="str"/>
      <x:c r="O467" s="15" t="str"/>
      <x:c r="P467" s="15" t="str"/>
      <x:c r="Q467" s="15" t="str">
        <x:v>New Solve</x:v>
      </x:c>
    </x:row>
    <x:row r="468">
      <x:c r="A468" s="15" t="n">
        <x:v>467</x:v>
      </x:c>
      <x:c r="B468" s="39" t="n">
        <x:v>46442</x:v>
      </x:c>
      <x:c r="C468" s="15" t="str">
        <x:v>Phase 3: 3/day</x:v>
      </x:c>
      <x:c r="D468" s="15" t="str">
        <x:v>Trie</x:v>
      </x:c>
      <x:c r="E468" s="15" t="str">
        <x:v>Medium</x:v>
      </x:c>
      <x:c r="F468" s="15" t="n">
        <x:v>1023</x:v>
      </x:c>
      <x:c r="G468" s="15" t="str">
        <x:v>Camelcase Matching</x:v>
      </x:c>
      <x:c r="H468" s="15" t="str">
        <x:v>https://leetcode.com/problems/camelcase-matching/</x:v>
      </x:c>
      <x:c r="I468" s="15" t="str">
        <x:v>Not Started</x:v>
      </x:c>
      <x:c r="J468" s="39"/>
      <x:c r="K468" s="39"/>
      <x:c r="L468" s="39"/>
      <x:c r="M468" s="15" t="str"/>
      <x:c r="N468" s="15" t="str"/>
      <x:c r="O468" s="15" t="str"/>
      <x:c r="P468" s="15" t="str"/>
      <x:c r="Q468" s="15" t="str">
        <x:v>New Solve</x:v>
      </x:c>
    </x:row>
    <x:row r="469">
      <x:c r="A469" s="15" t="n">
        <x:v>468</x:v>
      </x:c>
      <x:c r="B469" s="39" t="n">
        <x:v>46442</x:v>
      </x:c>
      <x:c r="C469" s="15" t="str">
        <x:v>Phase 3: 3/day</x:v>
      </x:c>
      <x:c r="D469" s="15" t="str">
        <x:v>Trie</x:v>
      </x:c>
      <x:c r="E469" s="15" t="str">
        <x:v>Hard</x:v>
      </x:c>
      <x:c r="F469" s="15" t="n">
        <x:v>1032</x:v>
      </x:c>
      <x:c r="G469" s="15" t="str">
        <x:v>Stream of Characters</x:v>
      </x:c>
      <x:c r="H469" s="15" t="str">
        <x:v>https://leetcode.com/problems/stream-of-characters/</x:v>
      </x:c>
      <x:c r="I469" s="15" t="str">
        <x:v>Not Started</x:v>
      </x:c>
      <x:c r="J469" s="39"/>
      <x:c r="K469" s="39"/>
      <x:c r="L469" s="39"/>
      <x:c r="M469" s="15" t="str"/>
      <x:c r="N469" s="15" t="str"/>
      <x:c r="O469" s="15" t="str"/>
      <x:c r="P469" s="15" t="str"/>
      <x:c r="Q469" s="15" t="str">
        <x:v>New Solve</x:v>
      </x:c>
    </x:row>
    <x:row r="470">
      <x:c r="A470" s="15" t="n">
        <x:v>469</x:v>
      </x:c>
      <x:c r="B470" s="39" t="n">
        <x:v>46443</x:v>
      </x:c>
      <x:c r="C470" s="15" t="str">
        <x:v>Phase 3: 3/day</x:v>
      </x:c>
      <x:c r="D470" s="15" t="str">
        <x:v>Trie</x:v>
      </x:c>
      <x:c r="E470" s="15" t="str">
        <x:v>Medium</x:v>
      </x:c>
      <x:c r="F470" s="15" t="n">
        <x:v>1268</x:v>
      </x:c>
      <x:c r="G470" s="15" t="str">
        <x:v>Search Suggestions System</x:v>
      </x:c>
      <x:c r="H470" s="15" t="str">
        <x:v>https://leetcode.com/problems/search-suggestions-system/</x:v>
      </x:c>
      <x:c r="I470" s="15" t="str">
        <x:v>Not Started</x:v>
      </x:c>
      <x:c r="J470" s="39"/>
      <x:c r="K470" s="39"/>
      <x:c r="L470" s="39"/>
      <x:c r="M470" s="15" t="str"/>
      <x:c r="N470" s="15" t="str"/>
      <x:c r="O470" s="15" t="str"/>
      <x:c r="P470" s="15" t="str"/>
      <x:c r="Q470" s="15" t="str">
        <x:v>New Solve</x:v>
      </x:c>
    </x:row>
    <x:row r="471">
      <x:c r="A471" s="15" t="n">
        <x:v>470</x:v>
      </x:c>
      <x:c r="B471" s="39" t="n">
        <x:v>46443</x:v>
      </x:c>
      <x:c r="C471" s="15" t="str">
        <x:v>Phase 3: 3/day</x:v>
      </x:c>
      <x:c r="D471" s="15" t="str">
        <x:v>Trie</x:v>
      </x:c>
      <x:c r="E471" s="15" t="str">
        <x:v>Hard</x:v>
      </x:c>
      <x:c r="F471" s="15" t="n">
        <x:v>1707</x:v>
      </x:c>
      <x:c r="G471" s="15" t="str">
        <x:v>Maximum XOR With an Element From Array</x:v>
      </x:c>
      <x:c r="H471" s="15" t="str">
        <x:v>https://leetcode.com/problems/maximum-xor-with-an-element-from-array/</x:v>
      </x:c>
      <x:c r="I471" s="15" t="str">
        <x:v>Not Started</x:v>
      </x:c>
      <x:c r="J471" s="39"/>
      <x:c r="K471" s="39"/>
      <x:c r="L471" s="39"/>
      <x:c r="M471" s="15" t="str"/>
      <x:c r="N471" s="15" t="str"/>
      <x:c r="O471" s="15" t="str"/>
      <x:c r="P471" s="15" t="str"/>
      <x:c r="Q471" s="15" t="str">
        <x:v>New Solve</x:v>
      </x:c>
    </x:row>
    <x:row r="472">
      <x:c r="A472" s="15" t="n">
        <x:v>471</x:v>
      </x:c>
      <x:c r="B472" s="39" t="n">
        <x:v>46443</x:v>
      </x:c>
      <x:c r="C472" s="15" t="str">
        <x:v>Phase 3: 3/day</x:v>
      </x:c>
      <x:c r="D472" s="15" t="str">
        <x:v>Bit Manipulation / Math</x:v>
      </x:c>
      <x:c r="E472" s="15" t="str">
        <x:v>Easy</x:v>
      </x:c>
      <x:c r="F472" s="15" t="n">
        <x:v>191</x:v>
      </x:c>
      <x:c r="G472" s="15" t="str">
        <x:v>Number of 1 Bits</x:v>
      </x:c>
      <x:c r="H472" s="15" t="str">
        <x:v>https://leetcode.com/problems/number-of-1-bits/</x:v>
      </x:c>
      <x:c r="I472" s="15" t="str">
        <x:v>Not Started</x:v>
      </x:c>
      <x:c r="J472" s="39"/>
      <x:c r="K472" s="39"/>
      <x:c r="L472" s="39"/>
      <x:c r="M472" s="15" t="str"/>
      <x:c r="N472" s="15" t="str"/>
      <x:c r="O472" s="15" t="str"/>
      <x:c r="P472" s="15" t="str"/>
      <x:c r="Q472" s="15" t="str">
        <x:v>New Solve</x:v>
      </x:c>
    </x:row>
    <x:row r="473">
      <x:c r="A473" s="15" t="n">
        <x:v>472</x:v>
      </x:c>
      <x:c r="B473" s="39"/>
      <x:c r="C473" s="15" t="str">
        <x:v>Already solved - revise</x:v>
      </x:c>
      <x:c r="D473" s="15" t="str">
        <x:v>Bit Manipulation / Math</x:v>
      </x:c>
      <x:c r="E473" s="15" t="str">
        <x:v>Easy</x:v>
      </x:c>
      <x:c r="F473" s="15" t="n">
        <x:v>231</x:v>
      </x:c>
      <x:c r="G473" s="15" t="str">
        <x:v>Power of Two</x:v>
      </x:c>
      <x:c r="H473" s="15" t="str">
        <x:v>https://leetcode.com/problems/power-of-two/</x:v>
      </x:c>
      <x:c r="I473" s="15" t="str">
        <x:v>Done</x:v>
      </x:c>
      <x:c r="J473" s="39"/>
      <x:c r="K473" s="39"/>
      <x:c r="L473" s="39"/>
      <x:c r="M473" s="15" t="str"/>
      <x:c r="N473" s="15" t="str"/>
      <x:c r="O473" s="15" t="str"/>
      <x:c r="P473" s="15" t="str"/>
      <x:c r="Q473" s="15" t="str">
        <x:v>Revision / Confirmed</x:v>
      </x:c>
    </x:row>
    <x:row r="474">
      <x:c r="A474" s="15" t="n">
        <x:v>473</x:v>
      </x:c>
      <x:c r="B474" s="39" t="n">
        <x:v>46444</x:v>
      </x:c>
      <x:c r="C474" s="15" t="str">
        <x:v>Phase 3: 3/day</x:v>
      </x:c>
      <x:c r="D474" s="15" t="str">
        <x:v>Bit Manipulation / Math</x:v>
      </x:c>
      <x:c r="E474" s="15" t="str">
        <x:v>Easy</x:v>
      </x:c>
      <x:c r="F474" s="15" t="n">
        <x:v>190</x:v>
      </x:c>
      <x:c r="G474" s="15" t="str">
        <x:v>Reverse Bits</x:v>
      </x:c>
      <x:c r="H474" s="15" t="str">
        <x:v>https://leetcode.com/problems/reverse-bits/</x:v>
      </x:c>
      <x:c r="I474" s="15" t="str">
        <x:v>Not Started</x:v>
      </x:c>
      <x:c r="J474" s="39"/>
      <x:c r="K474" s="39"/>
      <x:c r="L474" s="39"/>
      <x:c r="M474" s="15" t="str"/>
      <x:c r="N474" s="15" t="str"/>
      <x:c r="O474" s="15" t="str"/>
      <x:c r="P474" s="15" t="str"/>
      <x:c r="Q474" s="15" t="str">
        <x:v>New Solve</x:v>
      </x:c>
    </x:row>
    <x:row r="475">
      <x:c r="A475" s="15" t="n">
        <x:v>474</x:v>
      </x:c>
      <x:c r="B475" s="39" t="n">
        <x:v>46444</x:v>
      </x:c>
      <x:c r="C475" s="15" t="str">
        <x:v>Phase 3: 3/day</x:v>
      </x:c>
      <x:c r="D475" s="15" t="str">
        <x:v>Bit Manipulation / Math</x:v>
      </x:c>
      <x:c r="E475" s="15" t="str">
        <x:v>Easy</x:v>
      </x:c>
      <x:c r="F475" s="15" t="n">
        <x:v>338</x:v>
      </x:c>
      <x:c r="G475" s="15" t="str">
        <x:v>Counting Bits</x:v>
      </x:c>
      <x:c r="H475" s="15" t="str">
        <x:v>https://leetcode.com/problems/counting-bits/</x:v>
      </x:c>
      <x:c r="I475" s="15" t="str">
        <x:v>Not Started</x:v>
      </x:c>
      <x:c r="J475" s="39"/>
      <x:c r="K475" s="39"/>
      <x:c r="L475" s="39"/>
      <x:c r="M475" s="15" t="str"/>
      <x:c r="N475" s="15" t="str"/>
      <x:c r="O475" s="15" t="str"/>
      <x:c r="P475" s="15" t="str"/>
      <x:c r="Q475" s="15" t="str">
        <x:v>New Solve</x:v>
      </x:c>
    </x:row>
    <x:row r="476">
      <x:c r="A476" s="15" t="n">
        <x:v>475</x:v>
      </x:c>
      <x:c r="B476" s="39" t="n">
        <x:v>46444</x:v>
      </x:c>
      <x:c r="C476" s="15" t="str">
        <x:v>Phase 3: 3/day</x:v>
      </x:c>
      <x:c r="D476" s="15" t="str">
        <x:v>Bit Manipulation / Math</x:v>
      </x:c>
      <x:c r="E476" s="15" t="str">
        <x:v>Easy</x:v>
      </x:c>
      <x:c r="F476" s="15" t="n">
        <x:v>461</x:v>
      </x:c>
      <x:c r="G476" s="15" t="str">
        <x:v>Hamming Distance</x:v>
      </x:c>
      <x:c r="H476" s="15" t="str">
        <x:v>https://leetcode.com/problems/hamming-distance/</x:v>
      </x:c>
      <x:c r="I476" s="15" t="str">
        <x:v>Not Started</x:v>
      </x:c>
      <x:c r="J476" s="39"/>
      <x:c r="K476" s="39"/>
      <x:c r="L476" s="39"/>
      <x:c r="M476" s="15" t="str"/>
      <x:c r="N476" s="15" t="str"/>
      <x:c r="O476" s="15" t="str"/>
      <x:c r="P476" s="15" t="str"/>
      <x:c r="Q476" s="15" t="str">
        <x:v>New Solve</x:v>
      </x:c>
    </x:row>
    <x:row r="477">
      <x:c r="A477" s="15" t="n">
        <x:v>476</x:v>
      </x:c>
      <x:c r="B477" s="39" t="n">
        <x:v>46445</x:v>
      </x:c>
      <x:c r="C477" s="15" t="str">
        <x:v>Phase 3: 3/day</x:v>
      </x:c>
      <x:c r="D477" s="15" t="str">
        <x:v>Bit Manipulation / Math</x:v>
      </x:c>
      <x:c r="E477" s="15" t="str">
        <x:v>Medium</x:v>
      </x:c>
      <x:c r="F477" s="15" t="n">
        <x:v>371</x:v>
      </x:c>
      <x:c r="G477" s="15" t="str">
        <x:v>Sum of Two Integers</x:v>
      </x:c>
      <x:c r="H477" s="15" t="str">
        <x:v>https://leetcode.com/problems/sum-of-two-integers/</x:v>
      </x:c>
      <x:c r="I477" s="15" t="str">
        <x:v>Not Started</x:v>
      </x:c>
      <x:c r="J477" s="39"/>
      <x:c r="K477" s="39"/>
      <x:c r="L477" s="39"/>
      <x:c r="M477" s="15" t="str"/>
      <x:c r="N477" s="15" t="str"/>
      <x:c r="O477" s="15" t="str"/>
      <x:c r="P477" s="15" t="str"/>
      <x:c r="Q477" s="15" t="str">
        <x:v>New Solve</x:v>
      </x:c>
    </x:row>
    <x:row r="478">
      <x:c r="A478" s="15" t="n">
        <x:v>477</x:v>
      </x:c>
      <x:c r="B478" s="39" t="n">
        <x:v>46445</x:v>
      </x:c>
      <x:c r="C478" s="15" t="str">
        <x:v>Phase 3: 3/day</x:v>
      </x:c>
      <x:c r="D478" s="15" t="str">
        <x:v>Bit Manipulation / Math</x:v>
      </x:c>
      <x:c r="E478" s="15" t="str">
        <x:v>Medium</x:v>
      </x:c>
      <x:c r="F478" s="15" t="n">
        <x:v>201</x:v>
      </x:c>
      <x:c r="G478" s="15" t="str">
        <x:v>Bitwise AND of Numbers Range</x:v>
      </x:c>
      <x:c r="H478" s="15" t="str">
        <x:v>https://leetcode.com/problems/bitwise-and-of-numbers-range/</x:v>
      </x:c>
      <x:c r="I478" s="15" t="str">
        <x:v>Not Started</x:v>
      </x:c>
      <x:c r="J478" s="39"/>
      <x:c r="K478" s="39"/>
      <x:c r="L478" s="39"/>
      <x:c r="M478" s="15" t="str"/>
      <x:c r="N478" s="15" t="str"/>
      <x:c r="O478" s="15" t="str"/>
      <x:c r="P478" s="15" t="str"/>
      <x:c r="Q478" s="15" t="str">
        <x:v>New Solve</x:v>
      </x:c>
    </x:row>
    <x:row r="479">
      <x:c r="A479" s="15" t="n">
        <x:v>478</x:v>
      </x:c>
      <x:c r="B479" s="39" t="n">
        <x:v>46445</x:v>
      </x:c>
      <x:c r="C479" s="15" t="str">
        <x:v>Phase 3: 3/day</x:v>
      </x:c>
      <x:c r="D479" s="15" t="str">
        <x:v>Bit Manipulation / Math</x:v>
      </x:c>
      <x:c r="E479" s="15" t="str">
        <x:v>Medium</x:v>
      </x:c>
      <x:c r="F479" s="15" t="n">
        <x:v>50</x:v>
      </x:c>
      <x:c r="G479" s="15" t="str">
        <x:v>Pow(x, n)</x:v>
      </x:c>
      <x:c r="H479" s="15" t="str">
        <x:v>https://leetcode.com/problems/powx-n/</x:v>
      </x:c>
      <x:c r="I479" s="15" t="str">
        <x:v>Not Started</x:v>
      </x:c>
      <x:c r="J479" s="39"/>
      <x:c r="K479" s="39"/>
      <x:c r="L479" s="39"/>
      <x:c r="M479" s="15" t="str"/>
      <x:c r="N479" s="15" t="str"/>
      <x:c r="O479" s="15" t="str"/>
      <x:c r="P479" s="15" t="str"/>
      <x:c r="Q479" s="15" t="str">
        <x:v>New Solve</x:v>
      </x:c>
    </x:row>
    <x:row r="480">
      <x:c r="A480" s="15" t="n">
        <x:v>479</x:v>
      </x:c>
      <x:c r="B480" s="39" t="n">
        <x:v>46446</x:v>
      </x:c>
      <x:c r="C480" s="15" t="str">
        <x:v>Phase 3: 3/day</x:v>
      </x:c>
      <x:c r="D480" s="15" t="str">
        <x:v>Bit Manipulation / Math</x:v>
      </x:c>
      <x:c r="E480" s="15" t="str">
        <x:v>Medium</x:v>
      </x:c>
      <x:c r="F480" s="15" t="n">
        <x:v>7</x:v>
      </x:c>
      <x:c r="G480" s="15" t="str">
        <x:v>Reverse Integer</x:v>
      </x:c>
      <x:c r="H480" s="15" t="str">
        <x:v>https://leetcode.com/problems/reverse-integer/</x:v>
      </x:c>
      <x:c r="I480" s="15" t="str">
        <x:v>Not Started</x:v>
      </x:c>
      <x:c r="J480" s="39"/>
      <x:c r="K480" s="39"/>
      <x:c r="L480" s="39"/>
      <x:c r="M480" s="15" t="str"/>
      <x:c r="N480" s="15" t="str"/>
      <x:c r="O480" s="15" t="str"/>
      <x:c r="P480" s="15" t="str"/>
      <x:c r="Q480" s="15" t="str">
        <x:v>New Solve</x:v>
      </x:c>
    </x:row>
    <x:row r="481">
      <x:c r="A481" s="15" t="n">
        <x:v>480</x:v>
      </x:c>
      <x:c r="B481" s="39"/>
      <x:c r="C481" s="15" t="str">
        <x:v>Already solved - revise</x:v>
      </x:c>
      <x:c r="D481" s="15" t="str">
        <x:v>Bit Manipulation / Math</x:v>
      </x:c>
      <x:c r="E481" s="15" t="str">
        <x:v>Easy</x:v>
      </x:c>
      <x:c r="F481" s="15" t="n">
        <x:v>9</x:v>
      </x:c>
      <x:c r="G481" s="15" t="str">
        <x:v>Palindrome Number</x:v>
      </x:c>
      <x:c r="H481" s="15" t="str">
        <x:v>https://leetcode.com/problems/palindrome-number/</x:v>
      </x:c>
      <x:c r="I481" s="15" t="str">
        <x:v>Done</x:v>
      </x:c>
      <x:c r="J481" s="39"/>
      <x:c r="K481" s="39"/>
      <x:c r="L481" s="39"/>
      <x:c r="M481" s="15" t="str"/>
      <x:c r="N481" s="15" t="str"/>
      <x:c r="O481" s="15" t="str"/>
      <x:c r="P481" s="15" t="str"/>
      <x:c r="Q481" s="15" t="str">
        <x:v>Revision / Confirmed</x:v>
      </x:c>
    </x:row>
    <x:row r="482">
      <x:c r="A482" s="15" t="n">
        <x:v>481</x:v>
      </x:c>
      <x:c r="B482" s="39" t="n">
        <x:v>46446</x:v>
      </x:c>
      <x:c r="C482" s="15" t="str">
        <x:v>Phase 3: 3/day</x:v>
      </x:c>
      <x:c r="D482" s="15" t="str">
        <x:v>Bit Manipulation / Math</x:v>
      </x:c>
      <x:c r="E482" s="15" t="str">
        <x:v>Easy</x:v>
      </x:c>
      <x:c r="F482" s="15" t="n">
        <x:v>202</x:v>
      </x:c>
      <x:c r="G482" s="15" t="str">
        <x:v>Happy Number</x:v>
      </x:c>
      <x:c r="H482" s="15" t="str">
        <x:v>https://leetcode.com/problems/happy-number/</x:v>
      </x:c>
      <x:c r="I482" s="15" t="str">
        <x:v>Not Started</x:v>
      </x:c>
      <x:c r="J482" s="39"/>
      <x:c r="K482" s="39"/>
      <x:c r="L482" s="39"/>
      <x:c r="M482" s="15" t="str"/>
      <x:c r="N482" s="15" t="str"/>
      <x:c r="O482" s="15" t="str"/>
      <x:c r="P482" s="15" t="str"/>
      <x:c r="Q482" s="15" t="str">
        <x:v>New Solve</x:v>
      </x:c>
    </x:row>
    <x:row r="483">
      <x:c r="A483" s="15" t="n">
        <x:v>482</x:v>
      </x:c>
      <x:c r="B483" s="39" t="n">
        <x:v>46446</x:v>
      </x:c>
      <x:c r="C483" s="15" t="str">
        <x:v>Phase 3: 3/day</x:v>
      </x:c>
      <x:c r="D483" s="15" t="str">
        <x:v>Bit Manipulation / Math</x:v>
      </x:c>
      <x:c r="E483" s="15" t="str">
        <x:v>Easy</x:v>
      </x:c>
      <x:c r="F483" s="15" t="n">
        <x:v>263</x:v>
      </x:c>
      <x:c r="G483" s="15" t="str">
        <x:v>Ugly Number</x:v>
      </x:c>
      <x:c r="H483" s="15" t="str">
        <x:v>https://leetcode.com/problems/ugly-number/</x:v>
      </x:c>
      <x:c r="I483" s="15" t="str">
        <x:v>Not Started</x:v>
      </x:c>
      <x:c r="J483" s="39"/>
      <x:c r="K483" s="39"/>
      <x:c r="L483" s="39"/>
      <x:c r="M483" s="15" t="str"/>
      <x:c r="N483" s="15" t="str"/>
      <x:c r="O483" s="15" t="str"/>
      <x:c r="P483" s="15" t="str"/>
      <x:c r="Q483" s="15" t="str">
        <x:v>New Solve</x:v>
      </x:c>
    </x:row>
    <x:row r="484">
      <x:c r="A484" s="15" t="n">
        <x:v>483</x:v>
      </x:c>
      <x:c r="B484" s="39"/>
      <x:c r="C484" s="15" t="str">
        <x:v>Already solved - revise</x:v>
      </x:c>
      <x:c r="D484" s="15" t="str">
        <x:v>Bit Manipulation / Math</x:v>
      </x:c>
      <x:c r="E484" s="15" t="str">
        <x:v>Easy</x:v>
      </x:c>
      <x:c r="F484" s="15" t="n">
        <x:v>326</x:v>
      </x:c>
      <x:c r="G484" s="15" t="str">
        <x:v>Power of Three</x:v>
      </x:c>
      <x:c r="H484" s="15" t="str">
        <x:v>https://leetcode.com/problems/power-of-three/</x:v>
      </x:c>
      <x:c r="I484" s="15" t="str">
        <x:v>Done</x:v>
      </x:c>
      <x:c r="J484" s="39"/>
      <x:c r="K484" s="39"/>
      <x:c r="L484" s="39"/>
      <x:c r="M484" s="15" t="str"/>
      <x:c r="N484" s="15" t="str"/>
      <x:c r="O484" s="15" t="str"/>
      <x:c r="P484" s="15" t="str"/>
      <x:c r="Q484" s="15" t="str">
        <x:v>Revision / Confirmed</x:v>
      </x:c>
    </x:row>
    <x:row r="485">
      <x:c r="A485" s="15" t="n">
        <x:v>484</x:v>
      </x:c>
      <x:c r="B485" s="39" t="n">
        <x:v>46447</x:v>
      </x:c>
      <x:c r="C485" s="15" t="str">
        <x:v>Phase 3: 3/day</x:v>
      </x:c>
      <x:c r="D485" s="15" t="str">
        <x:v>Bit Manipulation / Math</x:v>
      </x:c>
      <x:c r="E485" s="15" t="str">
        <x:v>Easy</x:v>
      </x:c>
      <x:c r="F485" s="15" t="n">
        <x:v>342</x:v>
      </x:c>
      <x:c r="G485" s="15" t="str">
        <x:v>Power of Four</x:v>
      </x:c>
      <x:c r="H485" s="15" t="str">
        <x:v>https://leetcode.com/problems/power-of-four/</x:v>
      </x:c>
      <x:c r="I485" s="15" t="str">
        <x:v>Not Started</x:v>
      </x:c>
      <x:c r="J485" s="39"/>
      <x:c r="K485" s="39"/>
      <x:c r="L485" s="39"/>
      <x:c r="M485" s="15" t="str"/>
      <x:c r="N485" s="15" t="str"/>
      <x:c r="O485" s="15" t="str"/>
      <x:c r="P485" s="15" t="str"/>
      <x:c r="Q485" s="15" t="str">
        <x:v>New Solve</x:v>
      </x:c>
    </x:row>
    <x:row r="486">
      <x:c r="A486" s="15" t="n">
        <x:v>485</x:v>
      </x:c>
      <x:c r="B486" s="39" t="n">
        <x:v>46447</x:v>
      </x:c>
      <x:c r="C486" s="15" t="str">
        <x:v>Phase 3: 3/day</x:v>
      </x:c>
      <x:c r="D486" s="15" t="str">
        <x:v>Bit Manipulation / Math</x:v>
      </x:c>
      <x:c r="E486" s="15" t="str">
        <x:v>Easy</x:v>
      </x:c>
      <x:c r="F486" s="15" t="n">
        <x:v>412</x:v>
      </x:c>
      <x:c r="G486" s="15" t="str">
        <x:v>Fizz Buzz</x:v>
      </x:c>
      <x:c r="H486" s="15" t="str">
        <x:v>https://leetcode.com/problems/fizz-buzz/</x:v>
      </x:c>
      <x:c r="I486" s="15" t="str">
        <x:v>Not Started</x:v>
      </x:c>
      <x:c r="J486" s="39"/>
      <x:c r="K486" s="39"/>
      <x:c r="L486" s="39"/>
      <x:c r="M486" s="15" t="str"/>
      <x:c r="N486" s="15" t="str"/>
      <x:c r="O486" s="15" t="str"/>
      <x:c r="P486" s="15" t="str"/>
      <x:c r="Q486" s="15" t="str">
        <x:v>New Solve</x:v>
      </x:c>
    </x:row>
    <x:row r="487">
      <x:c r="A487" s="15" t="n">
        <x:v>486</x:v>
      </x:c>
      <x:c r="B487" s="39" t="n">
        <x:v>46447</x:v>
      </x:c>
      <x:c r="C487" s="15" t="str">
        <x:v>Phase 3: 3/day</x:v>
      </x:c>
      <x:c r="D487" s="15" t="str">
        <x:v>Bit Manipulation / Math</x:v>
      </x:c>
      <x:c r="E487" s="15" t="str">
        <x:v>Easy</x:v>
      </x:c>
      <x:c r="F487" s="15" t="n">
        <x:v>258</x:v>
      </x:c>
      <x:c r="G487" s="15" t="str">
        <x:v>Add Digits</x:v>
      </x:c>
      <x:c r="H487" s="15" t="str">
        <x:v>https://leetcode.com/problems/add-digits/</x:v>
      </x:c>
      <x:c r="I487" s="15" t="str">
        <x:v>Not Started</x:v>
      </x:c>
      <x:c r="J487" s="39"/>
      <x:c r="K487" s="39"/>
      <x:c r="L487" s="39"/>
      <x:c r="M487" s="15" t="str"/>
      <x:c r="N487" s="15" t="str"/>
      <x:c r="O487" s="15" t="str"/>
      <x:c r="P487" s="15" t="str"/>
      <x:c r="Q487" s="15" t="str">
        <x:v>New Solve</x:v>
      </x:c>
    </x:row>
    <x:row r="488">
      <x:c r="A488" s="15" t="n">
        <x:v>487</x:v>
      </x:c>
      <x:c r="B488" s="39" t="n">
        <x:v>46448</x:v>
      </x:c>
      <x:c r="C488" s="15" t="str">
        <x:v>Phase 3: 3/day</x:v>
      </x:c>
      <x:c r="D488" s="15" t="str">
        <x:v>Bit Manipulation / Math</x:v>
      </x:c>
      <x:c r="E488" s="15" t="str">
        <x:v>Medium</x:v>
      </x:c>
      <x:c r="F488" s="15" t="n">
        <x:v>204</x:v>
      </x:c>
      <x:c r="G488" s="15" t="str">
        <x:v>Count Primes</x:v>
      </x:c>
      <x:c r="H488" s="15" t="str">
        <x:v>https://leetcode.com/problems/count-primes/</x:v>
      </x:c>
      <x:c r="I488" s="15" t="str">
        <x:v>Not Started</x:v>
      </x:c>
      <x:c r="J488" s="39"/>
      <x:c r="K488" s="39"/>
      <x:c r="L488" s="39"/>
      <x:c r="M488" s="15" t="str"/>
      <x:c r="N488" s="15" t="str"/>
      <x:c r="O488" s="15" t="str"/>
      <x:c r="P488" s="15" t="str"/>
      <x:c r="Q488" s="15" t="str">
        <x:v>New Solve</x:v>
      </x:c>
    </x:row>
    <x:row r="489">
      <x:c r="A489" s="15" t="n">
        <x:v>488</x:v>
      </x:c>
      <x:c r="B489" s="39" t="n">
        <x:v>46448</x:v>
      </x:c>
      <x:c r="C489" s="15" t="str">
        <x:v>Phase 3: 3/day</x:v>
      </x:c>
      <x:c r="D489" s="15" t="str">
        <x:v>Bit Manipulation / Math</x:v>
      </x:c>
      <x:c r="E489" s="15" t="str">
        <x:v>Medium</x:v>
      </x:c>
      <x:c r="F489" s="15" t="n">
        <x:v>172</x:v>
      </x:c>
      <x:c r="G489" s="15" t="str">
        <x:v>Factorial Trailing Zeroes</x:v>
      </x:c>
      <x:c r="H489" s="15" t="str">
        <x:v>https://leetcode.com/problems/factorial-trailing-zeroes/</x:v>
      </x:c>
      <x:c r="I489" s="15" t="str">
        <x:v>Not Started</x:v>
      </x:c>
      <x:c r="J489" s="39"/>
      <x:c r="K489" s="39"/>
      <x:c r="L489" s="39"/>
      <x:c r="M489" s="15" t="str"/>
      <x:c r="N489" s="15" t="str"/>
      <x:c r="O489" s="15" t="str"/>
      <x:c r="P489" s="15" t="str"/>
      <x:c r="Q489" s="15" t="str">
        <x:v>New Solve</x:v>
      </x:c>
    </x:row>
    <x:row r="490">
      <x:c r="A490" s="15" t="n">
        <x:v>489</x:v>
      </x:c>
      <x:c r="B490" s="39" t="n">
        <x:v>46448</x:v>
      </x:c>
      <x:c r="C490" s="15" t="str">
        <x:v>Phase 3: 3/day</x:v>
      </x:c>
      <x:c r="D490" s="15" t="str">
        <x:v>Bit Manipulation / Math</x:v>
      </x:c>
      <x:c r="E490" s="15" t="str">
        <x:v>Medium</x:v>
      </x:c>
      <x:c r="F490" s="15" t="n">
        <x:v>319</x:v>
      </x:c>
      <x:c r="G490" s="15" t="str">
        <x:v>Bulb Switcher</x:v>
      </x:c>
      <x:c r="H490" s="15" t="str">
        <x:v>https://leetcode.com/problems/bulb-switcher/</x:v>
      </x:c>
      <x:c r="I490" s="15" t="str">
        <x:v>Not Started</x:v>
      </x:c>
      <x:c r="J490" s="39"/>
      <x:c r="K490" s="39"/>
      <x:c r="L490" s="39"/>
      <x:c r="M490" s="15" t="str"/>
      <x:c r="N490" s="15" t="str"/>
      <x:c r="O490" s="15" t="str"/>
      <x:c r="P490" s="15" t="str"/>
      <x:c r="Q490" s="15" t="str">
        <x:v>New Solve</x:v>
      </x:c>
    </x:row>
    <x:row r="491">
      <x:c r="A491" s="15" t="n">
        <x:v>490</x:v>
      </x:c>
      <x:c r="B491" s="39" t="n">
        <x:v>46449</x:v>
      </x:c>
      <x:c r="C491" s="15" t="str">
        <x:v>Phase 3: 3/day</x:v>
      </x:c>
      <x:c r="D491" s="15" t="str">
        <x:v>Bit Manipulation / Math</x:v>
      </x:c>
      <x:c r="E491" s="15" t="str">
        <x:v>Medium</x:v>
      </x:c>
      <x:c r="F491" s="15" t="n">
        <x:v>365</x:v>
      </x:c>
      <x:c r="G491" s="15" t="str">
        <x:v>Water and Jug Problem</x:v>
      </x:c>
      <x:c r="H491" s="15" t="str">
        <x:v>https://leetcode.com/problems/water-and-jug-problem/</x:v>
      </x:c>
      <x:c r="I491" s="15" t="str">
        <x:v>Not Started</x:v>
      </x:c>
      <x:c r="J491" s="39"/>
      <x:c r="K491" s="39"/>
      <x:c r="L491" s="39"/>
      <x:c r="M491" s="15" t="str"/>
      <x:c r="N491" s="15" t="str"/>
      <x:c r="O491" s="15" t="str"/>
      <x:c r="P491" s="15" t="str"/>
      <x:c r="Q491" s="15" t="str">
        <x:v>New Solve</x:v>
      </x:c>
    </x:row>
    <x:row r="492">
      <x:c r="A492" s="15" t="n">
        <x:v>491</x:v>
      </x:c>
      <x:c r="B492" s="39" t="n">
        <x:v>46449</x:v>
      </x:c>
      <x:c r="C492" s="15" t="str">
        <x:v>Phase 3: 3/day</x:v>
      </x:c>
      <x:c r="D492" s="15" t="str">
        <x:v>Bit Manipulation / Math</x:v>
      </x:c>
      <x:c r="E492" s="15" t="str">
        <x:v>Medium</x:v>
      </x:c>
      <x:c r="F492" s="15" t="n">
        <x:v>384</x:v>
      </x:c>
      <x:c r="G492" s="15" t="str">
        <x:v>Shuffle an Array</x:v>
      </x:c>
      <x:c r="H492" s="15" t="str">
        <x:v>https://leetcode.com/problems/shuffle-an-array/</x:v>
      </x:c>
      <x:c r="I492" s="15" t="str">
        <x:v>Not Started</x:v>
      </x:c>
      <x:c r="J492" s="39"/>
      <x:c r="K492" s="39"/>
      <x:c r="L492" s="39"/>
      <x:c r="M492" s="15" t="str"/>
      <x:c r="N492" s="15" t="str"/>
      <x:c r="O492" s="15" t="str"/>
      <x:c r="P492" s="15" t="str"/>
      <x:c r="Q492" s="15" t="str">
        <x:v>New Solve</x:v>
      </x:c>
    </x:row>
    <x:row r="493">
      <x:c r="A493" s="15" t="n">
        <x:v>492</x:v>
      </x:c>
      <x:c r="B493" s="39" t="n">
        <x:v>46449</x:v>
      </x:c>
      <x:c r="C493" s="15" t="str">
        <x:v>Phase 3: 3/day</x:v>
      </x:c>
      <x:c r="D493" s="15" t="str">
        <x:v>Bit Manipulation / Math</x:v>
      </x:c>
      <x:c r="E493" s="15" t="str">
        <x:v>Medium</x:v>
      </x:c>
      <x:c r="F493" s="15" t="n">
        <x:v>470</x:v>
      </x:c>
      <x:c r="G493" s="15" t="str">
        <x:v>Implement Rand10() Using Rand7()</x:v>
      </x:c>
      <x:c r="H493" s="15" t="str">
        <x:v>https://leetcode.com/problems/implement-rand10-using-rand7/</x:v>
      </x:c>
      <x:c r="I493" s="15" t="str">
        <x:v>Not Started</x:v>
      </x:c>
      <x:c r="J493" s="39"/>
      <x:c r="K493" s="39"/>
      <x:c r="L493" s="39"/>
      <x:c r="M493" s="15" t="str"/>
      <x:c r="N493" s="15" t="str"/>
      <x:c r="O493" s="15" t="str"/>
      <x:c r="P493" s="15" t="str"/>
      <x:c r="Q493" s="15" t="str">
        <x:v>New Solve</x:v>
      </x:c>
    </x:row>
    <x:row r="494">
      <x:c r="A494" s="15" t="n">
        <x:v>493</x:v>
      </x:c>
      <x:c r="B494" s="39" t="n">
        <x:v>46450</x:v>
      </x:c>
      <x:c r="C494" s="15" t="str">
        <x:v>Phase 3: 3/day</x:v>
      </x:c>
      <x:c r="D494" s="15" t="str">
        <x:v>Bit Manipulation / Math</x:v>
      </x:c>
      <x:c r="E494" s="15" t="str">
        <x:v>Medium</x:v>
      </x:c>
      <x:c r="F494" s="15" t="n">
        <x:v>528</x:v>
      </x:c>
      <x:c r="G494" s="15" t="str">
        <x:v>Random Pick with Weight</x:v>
      </x:c>
      <x:c r="H494" s="15" t="str">
        <x:v>https://leetcode.com/problems/random-pick-with-weight/</x:v>
      </x:c>
      <x:c r="I494" s="15" t="str">
        <x:v>Not Started</x:v>
      </x:c>
      <x:c r="J494" s="39"/>
      <x:c r="K494" s="39"/>
      <x:c r="L494" s="39"/>
      <x:c r="M494" s="15" t="str"/>
      <x:c r="N494" s="15" t="str"/>
      <x:c r="O494" s="15" t="str"/>
      <x:c r="P494" s="15" t="str"/>
      <x:c r="Q494" s="15" t="str">
        <x:v>New Solve</x:v>
      </x:c>
    </x:row>
    <x:row r="495">
      <x:c r="A495" s="15" t="n">
        <x:v>494</x:v>
      </x:c>
      <x:c r="B495" s="39" t="n">
        <x:v>46450</x:v>
      </x:c>
      <x:c r="C495" s="15" t="str">
        <x:v>Phase 3: 3/day</x:v>
      </x:c>
      <x:c r="D495" s="15" t="str">
        <x:v>Bit Manipulation / Math</x:v>
      </x:c>
      <x:c r="E495" s="15" t="str">
        <x:v>Medium</x:v>
      </x:c>
      <x:c r="F495" s="15" t="n">
        <x:v>535</x:v>
      </x:c>
      <x:c r="G495" s="15" t="str">
        <x:v>Encode and Decode TinyURL</x:v>
      </x:c>
      <x:c r="H495" s="15" t="str">
        <x:v>https://leetcode.com/problems/encode-and-decode-tinyurl/</x:v>
      </x:c>
      <x:c r="I495" s="15" t="str">
        <x:v>Not Started</x:v>
      </x:c>
      <x:c r="J495" s="39"/>
      <x:c r="K495" s="39"/>
      <x:c r="L495" s="39"/>
      <x:c r="M495" s="15" t="str"/>
      <x:c r="N495" s="15" t="str"/>
      <x:c r="O495" s="15" t="str"/>
      <x:c r="P495" s="15" t="str"/>
      <x:c r="Q495" s="15" t="str">
        <x:v>New Solve</x:v>
      </x:c>
    </x:row>
    <x:row r="496">
      <x:c r="A496" s="15" t="n">
        <x:v>495</x:v>
      </x:c>
      <x:c r="B496" s="39" t="n">
        <x:v>46450</x:v>
      </x:c>
      <x:c r="C496" s="15" t="str">
        <x:v>Phase 3: 3/day</x:v>
      </x:c>
      <x:c r="D496" s="15" t="str">
        <x:v>Bit Manipulation / Math</x:v>
      </x:c>
      <x:c r="E496" s="15" t="str">
        <x:v>Medium</x:v>
      </x:c>
      <x:c r="F496" s="15" t="n">
        <x:v>592</x:v>
      </x:c>
      <x:c r="G496" s="15" t="str">
        <x:v>Fraction Addition and Subtraction</x:v>
      </x:c>
      <x:c r="H496" s="15" t="str">
        <x:v>https://leetcode.com/problems/fraction-addition-and-subtraction/</x:v>
      </x:c>
      <x:c r="I496" s="15" t="str">
        <x:v>Not Started</x:v>
      </x:c>
      <x:c r="J496" s="39"/>
      <x:c r="K496" s="39"/>
      <x:c r="L496" s="39"/>
      <x:c r="M496" s="15" t="str"/>
      <x:c r="N496" s="15" t="str"/>
      <x:c r="O496" s="15" t="str"/>
      <x:c r="P496" s="15" t="str"/>
      <x:c r="Q496" s="15" t="str">
        <x:v>New Solve</x:v>
      </x:c>
    </x:row>
    <x:row r="497">
      <x:c r="A497" s="15" t="n">
        <x:v>496</x:v>
      </x:c>
      <x:c r="B497" s="39" t="n">
        <x:v>46451</x:v>
      </x:c>
      <x:c r="C497" s="15" t="str">
        <x:v>Phase 3: 3/day</x:v>
      </x:c>
      <x:c r="D497" s="15" t="str">
        <x:v>Bit Manipulation / Math</x:v>
      </x:c>
      <x:c r="E497" s="15" t="str">
        <x:v>Medium</x:v>
      </x:c>
      <x:c r="F497" s="15" t="n">
        <x:v>633</x:v>
      </x:c>
      <x:c r="G497" s="15" t="str">
        <x:v>Sum of Square Numbers</x:v>
      </x:c>
      <x:c r="H497" s="15" t="str">
        <x:v>https://leetcode.com/problems/sum-of-square-numbers/</x:v>
      </x:c>
      <x:c r="I497" s="15" t="str">
        <x:v>Not Started</x:v>
      </x:c>
      <x:c r="J497" s="39"/>
      <x:c r="K497" s="39"/>
      <x:c r="L497" s="39"/>
      <x:c r="M497" s="15" t="str"/>
      <x:c r="N497" s="15" t="str"/>
      <x:c r="O497" s="15" t="str"/>
      <x:c r="P497" s="15" t="str"/>
      <x:c r="Q497" s="15" t="str">
        <x:v>New Solve</x:v>
      </x:c>
    </x:row>
    <x:row r="498">
      <x:c r="A498" s="15" t="n">
        <x:v>497</x:v>
      </x:c>
      <x:c r="B498" s="39" t="n">
        <x:v>46451</x:v>
      </x:c>
      <x:c r="C498" s="15" t="str">
        <x:v>Phase 3: 3/day</x:v>
      </x:c>
      <x:c r="D498" s="15" t="str">
        <x:v>Bit Manipulation / Math</x:v>
      </x:c>
      <x:c r="E498" s="15" t="str">
        <x:v>Medium</x:v>
      </x:c>
      <x:c r="F498" s="15" t="n">
        <x:v>650</x:v>
      </x:c>
      <x:c r="G498" s="15" t="str">
        <x:v>2 Keys Keyboard</x:v>
      </x:c>
      <x:c r="H498" s="15" t="str">
        <x:v>https://leetcode.com/problems/2-keys-keyboard/</x:v>
      </x:c>
      <x:c r="I498" s="15" t="str">
        <x:v>Not Started</x:v>
      </x:c>
      <x:c r="J498" s="39"/>
      <x:c r="K498" s="39"/>
      <x:c r="L498" s="39"/>
      <x:c r="M498" s="15" t="str"/>
      <x:c r="N498" s="15" t="str"/>
      <x:c r="O498" s="15" t="str"/>
      <x:c r="P498" s="15" t="str"/>
      <x:c r="Q498" s="15" t="str">
        <x:v>New Solve</x:v>
      </x:c>
    </x:row>
    <x:row r="499">
      <x:c r="A499" s="15" t="n">
        <x:v>498</x:v>
      </x:c>
      <x:c r="B499" s="39" t="n">
        <x:v>46451</x:v>
      </x:c>
      <x:c r="C499" s="15" t="str">
        <x:v>Phase 3: 3/day</x:v>
      </x:c>
      <x:c r="D499" s="15" t="str">
        <x:v>Bit Manipulation / Math</x:v>
      </x:c>
      <x:c r="E499" s="15" t="str">
        <x:v>Medium</x:v>
      </x:c>
      <x:c r="F499" s="15" t="n">
        <x:v>754</x:v>
      </x:c>
      <x:c r="G499" s="15" t="str">
        <x:v>Reach a Number</x:v>
      </x:c>
      <x:c r="H499" s="15" t="str">
        <x:v>https://leetcode.com/problems/reach-a-number/</x:v>
      </x:c>
      <x:c r="I499" s="15" t="str">
        <x:v>Not Started</x:v>
      </x:c>
      <x:c r="J499" s="39"/>
      <x:c r="K499" s="39"/>
      <x:c r="L499" s="39"/>
      <x:c r="M499" s="15" t="str"/>
      <x:c r="N499" s="15" t="str"/>
      <x:c r="O499" s="15" t="str"/>
      <x:c r="P499" s="15" t="str"/>
      <x:c r="Q499" s="15" t="str">
        <x:v>New Solve</x:v>
      </x:c>
    </x:row>
    <x:row r="500">
      <x:c r="A500" s="15" t="n">
        <x:v>499</x:v>
      </x:c>
      <x:c r="B500" s="39" t="n">
        <x:v>46452</x:v>
      </x:c>
      <x:c r="C500" s="15" t="str">
        <x:v>Phase 3: 3/day</x:v>
      </x:c>
      <x:c r="D500" s="15" t="str">
        <x:v>Bit Manipulation / Math</x:v>
      </x:c>
      <x:c r="E500" s="15" t="str">
        <x:v>Medium</x:v>
      </x:c>
      <x:c r="F500" s="15" t="n">
        <x:v>781</x:v>
      </x:c>
      <x:c r="G500" s="15" t="str">
        <x:v>Rabbits in Forest</x:v>
      </x:c>
      <x:c r="H500" s="15" t="str">
        <x:v>https://leetcode.com/problems/rabbits-in-forest/</x:v>
      </x:c>
      <x:c r="I500" s="15" t="str">
        <x:v>Not Started</x:v>
      </x:c>
      <x:c r="J500" s="39"/>
      <x:c r="K500" s="39"/>
      <x:c r="L500" s="39"/>
      <x:c r="M500" s="15" t="str"/>
      <x:c r="N500" s="15" t="str"/>
      <x:c r="O500" s="15" t="str"/>
      <x:c r="P500" s="15" t="str"/>
      <x:c r="Q500" s="15" t="str">
        <x:v>New Solve</x:v>
      </x:c>
    </x:row>
    <x:row r="501">
      <x:c r="A501" s="15" t="n">
        <x:v>500</x:v>
      </x:c>
      <x:c r="B501" s="39" t="n">
        <x:v>46452</x:v>
      </x:c>
      <x:c r="C501" s="15" t="str">
        <x:v>Phase 3: 3/day</x:v>
      </x:c>
      <x:c r="D501" s="15" t="str">
        <x:v>Bit Manipulation / Math</x:v>
      </x:c>
      <x:c r="E501" s="15" t="str">
        <x:v>Easy</x:v>
      </x:c>
      <x:c r="F501" s="15" t="n">
        <x:v>836</x:v>
      </x:c>
      <x:c r="G501" s="15" t="str">
        <x:v>Rectangle Overlap</x:v>
      </x:c>
      <x:c r="H501" s="15" t="str">
        <x:v>https://leetcode.com/problems/rectangle-overlap/</x:v>
      </x:c>
      <x:c r="I501" s="15" t="str">
        <x:v>Not Started</x:v>
      </x:c>
      <x:c r="J501" s="39"/>
      <x:c r="K501" s="39"/>
      <x:c r="L501" s="39"/>
      <x:c r="M501" s="15" t="str"/>
      <x:c r="N501" s="15" t="str"/>
      <x:c r="O501" s="15" t="str"/>
      <x:c r="P501" s="15" t="str"/>
      <x:c r="Q501" s="15" t="str">
        <x:v>New Solve</x:v>
      </x:c>
    </x:row>
  </x:sheetData>
  <x:conditionalFormatting sqref="I2:I501">
    <x:cfRule type="expression" dxfId="0" priority="1">
      <x:formula>I2="Done"</x:formula>
    </x:cfRule>
    <x:cfRule type="expression" dxfId="1" priority="2">
      <x:formula>I2="In Progress"</x:formula>
    </x:cfRule>
    <x:cfRule type="expression" dxfId="2" priority="3">
      <x:formula>I2="Revision"</x:formula>
    </x:cfRule>
  </x:conditionalFormatting>
  <x:dataValidations count="2">
    <x:dataValidation type="list" sqref="I2:I501">
      <x:formula1>"Not Started,In Progress,Done,Revision,Skipped"</x:formula1>
    </x:dataValidation>
    <x:dataValidation type="list" sqref="P2:P501">
      <x:formula1>"Low,Medium,High,Revisit"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</x:cols>
  <x:sheetData>
    <x:row r="1" ht="28" customHeight="1">
      <x:c r="A1" s="236" t="str">
        <x:v>Topic</x:v>
      </x:c>
      <x:c r="B1" s="236" t="str">
        <x:v>Total</x:v>
      </x:c>
      <x:c r="C1" s="236" t="str">
        <x:v>Easy</x:v>
      </x:c>
      <x:c r="D1" s="236" t="str">
        <x:v>Medium</x:v>
      </x:c>
      <x:c r="E1" s="236" t="str">
        <x:v>Hard</x:v>
      </x:c>
      <x:c r="F1" s="236" t="str">
        <x:v>Done</x:v>
      </x:c>
      <x:c r="G1" s="236" t="str">
        <x:v>Not Started</x:v>
      </x:c>
      <x:c r="H1" s="236" t="str">
        <x:v>Progress %</x:v>
      </x:c>
    </x:row>
    <x:row r="2">
      <x:c r="A2" s="15" t="str">
        <x:v>Arrays &amp; Hashing</x:v>
      </x:c>
      <x:c r="B2" s="15" t="n">
        <x:v>65</x:v>
      </x:c>
      <x:c r="C2" s="15" t="n">
        <x:v>38</x:v>
      </x:c>
      <x:c r="D2" s="15" t="n">
        <x:v>26</x:v>
      </x:c>
      <x:c r="E2" s="15" t="n">
        <x:v>1</x:v>
      </x:c>
      <x:c r="F2" s="15" t="n">
        <x:v>17</x:v>
      </x:c>
      <x:c r="G2" s="15" t="n">
        <x:v>48</x:v>
      </x:c>
      <x:c r="H2" s="237" t="n">
        <x:v>0.26153846153846155</x:v>
      </x:c>
    </x:row>
    <x:row r="3">
      <x:c r="A3" s="15" t="str">
        <x:v>Strings</x:v>
      </x:c>
      <x:c r="B3" s="15" t="n">
        <x:v>50</x:v>
      </x:c>
      <x:c r="C3" s="15" t="n">
        <x:v>28</x:v>
      </x:c>
      <x:c r="D3" s="15" t="n">
        <x:v>20</x:v>
      </x:c>
      <x:c r="E3" s="15" t="n">
        <x:v>2</x:v>
      </x:c>
      <x:c r="F3" s="15" t="n">
        <x:v>5</x:v>
      </x:c>
      <x:c r="G3" s="15" t="n">
        <x:v>45</x:v>
      </x:c>
      <x:c r="H3" s="237" t="n">
        <x:v>0.1</x:v>
      </x:c>
    </x:row>
    <x:row r="4">
      <x:c r="A4" s="15" t="str">
        <x:v>Linked List</x:v>
      </x:c>
      <x:c r="B4" s="15" t="n">
        <x:v>30</x:v>
      </x:c>
      <x:c r="C4" s="15" t="n">
        <x:v>8</x:v>
      </x:c>
      <x:c r="D4" s="15" t="n">
        <x:v>20</x:v>
      </x:c>
      <x:c r="E4" s="15" t="n">
        <x:v>2</x:v>
      </x:c>
      <x:c r="F4" s="15" t="n">
        <x:v>12</x:v>
      </x:c>
      <x:c r="G4" s="15" t="n">
        <x:v>18</x:v>
      </x:c>
      <x:c r="H4" s="237" t="n">
        <x:v>0.4</x:v>
      </x:c>
    </x:row>
    <x:row r="5">
      <x:c r="A5" s="15" t="str">
        <x:v>Stack / Queue / Monotonic</x:v>
      </x:c>
      <x:c r="B5" s="15" t="n">
        <x:v>35</x:v>
      </x:c>
      <x:c r="C5" s="15" t="n">
        <x:v>9</x:v>
      </x:c>
      <x:c r="D5" s="15" t="n">
        <x:v>22</x:v>
      </x:c>
      <x:c r="E5" s="15" t="n">
        <x:v>4</x:v>
      </x:c>
      <x:c r="F5" s="15" t="n">
        <x:v>2</x:v>
      </x:c>
      <x:c r="G5" s="15" t="n">
        <x:v>33</x:v>
      </x:c>
      <x:c r="H5" s="237" t="n">
        <x:v>0.05714285714285714</x:v>
      </x:c>
    </x:row>
    <x:row r="6">
      <x:c r="A6" s="15" t="str">
        <x:v>Binary Search</x:v>
      </x:c>
      <x:c r="B6" s="15" t="n">
        <x:v>35</x:v>
      </x:c>
      <x:c r="C6" s="15" t="n">
        <x:v>10</x:v>
      </x:c>
      <x:c r="D6" s="15" t="n">
        <x:v>21</x:v>
      </x:c>
      <x:c r="E6" s="15" t="n">
        <x:v>4</x:v>
      </x:c>
      <x:c r="F6" s="15" t="n">
        <x:v>3</x:v>
      </x:c>
      <x:c r="G6" s="15" t="n">
        <x:v>32</x:v>
      </x:c>
      <x:c r="H6" s="237" t="n">
        <x:v>0.08571428571428572</x:v>
      </x:c>
    </x:row>
    <x:row r="7">
      <x:c r="A7" s="15" t="str">
        <x:v>Trees / BST</x:v>
      </x:c>
      <x:c r="B7" s="15" t="n">
        <x:v>45</x:v>
      </x:c>
      <x:c r="C7" s="15" t="n">
        <x:v>19</x:v>
      </x:c>
      <x:c r="D7" s="15" t="n">
        <x:v>26</x:v>
      </x:c>
      <x:c r="E7" s="15" t="n">
        <x:v>0</x:v>
      </x:c>
      <x:c r="F7" s="15" t="n">
        <x:v>0</x:v>
      </x:c>
      <x:c r="G7" s="15" t="n">
        <x:v>45</x:v>
      </x:c>
      <x:c r="H7" s="237" t="n">
        <x:v>0</x:v>
      </x:c>
    </x:row>
    <x:row r="8">
      <x:c r="A8" s="15" t="str">
        <x:v>Graphs</x:v>
      </x:c>
      <x:c r="B8" s="15" t="n">
        <x:v>45</x:v>
      </x:c>
      <x:c r="C8" s="15" t="n">
        <x:v>4</x:v>
      </x:c>
      <x:c r="D8" s="15" t="n">
        <x:v>32</x:v>
      </x:c>
      <x:c r="E8" s="15" t="n">
        <x:v>9</x:v>
      </x:c>
      <x:c r="F8" s="15" t="n">
        <x:v>0</x:v>
      </x:c>
      <x:c r="G8" s="15" t="n">
        <x:v>45</x:v>
      </x:c>
      <x:c r="H8" s="237" t="n">
        <x:v>0</x:v>
      </x:c>
    </x:row>
    <x:row r="9">
      <x:c r="A9" s="15" t="str">
        <x:v>Dynamic Programming</x:v>
      </x:c>
      <x:c r="B9" s="15" t="n">
        <x:v>60</x:v>
      </x:c>
      <x:c r="C9" s="15" t="n">
        <x:v>3</x:v>
      </x:c>
      <x:c r="D9" s="15" t="n">
        <x:v>47</x:v>
      </x:c>
      <x:c r="E9" s="15" t="n">
        <x:v>10</x:v>
      </x:c>
      <x:c r="F9" s="15" t="n">
        <x:v>4</x:v>
      </x:c>
      <x:c r="G9" s="15" t="n">
        <x:v>56</x:v>
      </x:c>
      <x:c r="H9" s="237" t="n">
        <x:v>0.06666666666666667</x:v>
      </x:c>
    </x:row>
    <x:row r="10">
      <x:c r="A10" s="15" t="str">
        <x:v>Greedy / Intervals</x:v>
      </x:c>
      <x:c r="B10" s="15" t="n">
        <x:v>30</x:v>
      </x:c>
      <x:c r="C10" s="15" t="n">
        <x:v>16</x:v>
      </x:c>
      <x:c r="D10" s="15" t="n">
        <x:v>13</x:v>
      </x:c>
      <x:c r="E10" s="15" t="n">
        <x:v>1</x:v>
      </x:c>
      <x:c r="F10" s="15" t="n">
        <x:v>0</x:v>
      </x:c>
      <x:c r="G10" s="15" t="n">
        <x:v>30</x:v>
      </x:c>
      <x:c r="H10" s="237" t="n">
        <x:v>0</x:v>
      </x:c>
    </x:row>
    <x:row r="11">
      <x:c r="A11" s="15" t="str">
        <x:v>Heap / Priority Queue</x:v>
      </x:c>
      <x:c r="B11" s="15" t="n">
        <x:v>25</x:v>
      </x:c>
      <x:c r="C11" s="15" t="n">
        <x:v>2</x:v>
      </x:c>
      <x:c r="D11" s="15" t="n">
        <x:v>11</x:v>
      </x:c>
      <x:c r="E11" s="15" t="n">
        <x:v>12</x:v>
      </x:c>
      <x:c r="F11" s="15" t="n">
        <x:v>1</x:v>
      </x:c>
      <x:c r="G11" s="15" t="n">
        <x:v>24</x:v>
      </x:c>
      <x:c r="H11" s="237" t="n">
        <x:v>0.04</x:v>
      </x:c>
    </x:row>
    <x:row r="12">
      <x:c r="A12" s="246" t="str">
        <x:v>Recursion Basics</x:v>
      </x:c>
      <x:c r="B12" s="246" t="n">
        <x:v>10</x:v>
      </x:c>
      <x:c r="C12" s="246" t="n">
        <x:v>1</x:v>
      </x:c>
      <x:c r="D12" s="246" t="n">
        <x:v>8</x:v>
      </x:c>
      <x:c r="E12" s="246" t="n">
        <x:v>1</x:v>
      </x:c>
      <x:c r="F12" s="246" t="n">
        <x:v>0</x:v>
      </x:c>
      <x:c r="G12" s="246" t="n">
        <x:v>10</x:v>
      </x:c>
      <x:c r="H12" s="247" t="n">
        <x:v>0</x:v>
      </x:c>
    </x:row>
    <x:row r="13">
      <x:c r="A13" s="15" t="str">
        <x:v>Backtracking</x:v>
      </x:c>
      <x:c r="B13" s="15" t="n">
        <x:v>25</x:v>
      </x:c>
      <x:c r="C13" s="15" t="n">
        <x:v>1</x:v>
      </x:c>
      <x:c r="D13" s="15" t="n">
        <x:v>18</x:v>
      </x:c>
      <x:c r="E13" s="15" t="n">
        <x:v>6</x:v>
      </x:c>
      <x:c r="F13" s="15" t="n">
        <x:v>0</x:v>
      </x:c>
      <x:c r="G13" s="15" t="n">
        <x:v>25</x:v>
      </x:c>
      <x:c r="H13" s="237" t="n">
        <x:v>0</x:v>
      </x:c>
    </x:row>
    <x:row r="14">
      <x:c r="A14" s="15" t="str">
        <x:v>Trie</x:v>
      </x:c>
      <x:c r="B14" s="15" t="n">
        <x:v>15</x:v>
      </x:c>
      <x:c r="C14" s="15" t="n">
        <x:v>0</x:v>
      </x:c>
      <x:c r="D14" s="15" t="n">
        <x:v>10</x:v>
      </x:c>
      <x:c r="E14" s="15" t="n">
        <x:v>5</x:v>
      </x:c>
      <x:c r="F14" s="15" t="n">
        <x:v>0</x:v>
      </x:c>
      <x:c r="G14" s="15" t="n">
        <x:v>15</x:v>
      </x:c>
      <x:c r="H14" s="237" t="n">
        <x:v>0</x:v>
      </x:c>
    </x:row>
    <x:row r="15">
      <x:c r="A15" s="15" t="str">
        <x:v>Bit Manipulation / Math</x:v>
      </x:c>
      <x:c r="B15" s="15" t="n">
        <x:v>30</x:v>
      </x:c>
      <x:c r="C15" s="15" t="n">
        <x:v>13</x:v>
      </x:c>
      <x:c r="D15" s="15" t="n">
        <x:v>17</x:v>
      </x:c>
      <x:c r="E15" s="15" t="n">
        <x:v>0</x:v>
      </x:c>
      <x:c r="F15" s="15" t="n">
        <x:v>3</x:v>
      </x:c>
      <x:c r="G15" s="15" t="n">
        <x:v>27</x:v>
      </x:c>
      <x:c r="H15" s="237" t="n">
        <x:v>0.1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42" hidden="0" customWidth="1"/>
    <x:col min="3" max="3" width="24" hidden="0" customWidth="1"/>
    <x:col min="4" max="4" width="24" hidden="0" customWidth="1"/>
    <x:col min="5" max="5" width="34" hidden="0" customWidth="1"/>
  </x:cols>
  <x:sheetData>
    <x:row r="1" ht="28" customHeight="1">
      <x:c r="A1" s="45" t="str">
        <x:v>Solved Import / Profile Scrape Notes</x:v>
      </x:c>
    </x:row>
    <x:row r="3">
      <x:c r="A3" s="14" t="str">
        <x:v>Field</x:v>
      </x:c>
      <x:c r="B3" s="14" t="str">
        <x:v>Value</x:v>
      </x:c>
    </x:row>
    <x:row r="4">
      <x:c r="A4" s="15" t="str">
        <x:v>Profile URL</x:v>
      </x:c>
      <x:c r="B4" s="15" t="str">
        <x:v>https://leetcode.com/u/RahulTakale/</x:v>
      </x:c>
    </x:row>
    <x:row r="5">
      <x:c r="A5" s="15" t="str">
        <x:v>Scraped current solved</x:v>
      </x:c>
      <x:c r="B5" s="15" t="str">
        <x:v>82 / 3985</x:v>
      </x:c>
    </x:row>
    <x:row r="6">
      <x:c r="A6" s="15" t="str">
        <x:v>Easy</x:v>
      </x:c>
      <x:c r="B6" s="15" t="str">
        <x:v>43 / 953</x:v>
      </x:c>
    </x:row>
    <x:row r="7">
      <x:c r="A7" s="15" t="str">
        <x:v>Medium</x:v>
      </x:c>
      <x:c r="B7" s="15" t="str">
        <x:v>31 / 2081</x:v>
      </x:c>
    </x:row>
    <x:row r="8">
      <x:c r="A8" s="15" t="str">
        <x:v>Hard</x:v>
      </x:c>
      <x:c r="B8" s="15" t="str">
        <x:v>8 / 951</x:v>
      </x:c>
    </x:row>
    <x:row r="9">
      <x:c r="A9" s="15" t="str">
        <x:v>Rank</x:v>
      </x:c>
      <x:c r="B9" s="15" t="str">
        <x:v>1,852,980</x:v>
      </x:c>
    </x:row>
    <x:row r="10">
      <x:c r="A10" s="15" t="str">
        <x:v>Languages visible</x:v>
      </x:c>
      <x:c r="B10" s="15" t="str">
        <x:v>Java: 82 problems solved; C++: 2 problems solved</x:v>
      </x:c>
    </x:row>
    <x:row r="11">
      <x:c r="A11" s="15" t="str">
        <x:v>Recent AC visible in screenshot</x:v>
      </x:c>
      <x:c r="B11" s="15" t="str">
        <x:v>Longest Palindromic Substring; Sort Colors; Spiral Matrix</x:v>
      </x:c>
    </x:row>
    <x:row r="12">
      <x:c r="A12" t="str">
        <x:v>Important note</x:v>
      </x:c>
      <x:c r="B12" t="str">
        <x:v>Public profile exposes stats, but not the complete accepted-problem title list without LeetCode login/API access.</x:v>
      </x:c>
    </x:row>
    <x:row r="13">
      <x:c r="A13" s="48" t="str">
        <x:v>Problem ID</x:v>
      </x:c>
      <x:c r="B13" s="48" t="str">
        <x:v>Problem Title</x:v>
      </x:c>
      <x:c r="C13" s="48" t="str">
        <x:v>Source</x:v>
      </x:c>
      <x:c r="D13" s="48" t="str">
        <x:v>Confidence</x:v>
      </x:c>
      <x:c r="E13" s="48" t="str">
        <x:v>Note</x:v>
      </x:c>
    </x:row>
    <x:row r="14">
      <x:c r="A14" s="15" t="n">
        <x:v>1</x:v>
      </x:c>
      <x:c r="B14" s="15" t="str">
        <x:v>Two Sum</x:v>
      </x:c>
      <x:c r="C14" s="15" t="str">
        <x:v>Previous chat history / solved practice</x:v>
      </x:c>
      <x:c r="D14" s="15" t="str">
        <x:v>Likely / known from chat</x:v>
      </x:c>
      <x:c r="E14" s="15" t="str">
        <x:v>Marked Done in main sheet</x:v>
      </x:c>
    </x:row>
    <x:row r="15">
      <x:c r="A15" s="15" t="n">
        <x:v>2</x:v>
      </x:c>
      <x:c r="B15" s="15" t="str">
        <x:v>Add Two Numbers</x:v>
      </x:c>
      <x:c r="C15" s="15" t="str">
        <x:v>Previous chat history / solved practice</x:v>
      </x:c>
      <x:c r="D15" s="15" t="str">
        <x:v>Likely / known from chat</x:v>
      </x:c>
      <x:c r="E15" s="15" t="str">
        <x:v>Marked Done in main sheet</x:v>
      </x:c>
    </x:row>
    <x:row r="16">
      <x:c r="A16" s="15" t="n">
        <x:v>3</x:v>
      </x:c>
      <x:c r="B16" s="15" t="str">
        <x:v>Longest Substring Without Repeating Characters</x:v>
      </x:c>
      <x:c r="C16" s="15" t="str">
        <x:v>Previous chat history / solved practice</x:v>
      </x:c>
      <x:c r="D16" s="15" t="str">
        <x:v>Likely / known from chat</x:v>
      </x:c>
      <x:c r="E16" s="15" t="str">
        <x:v>Marked Done in main sheet</x:v>
      </x:c>
    </x:row>
    <x:row r="17">
      <x:c r="A17" s="15" t="n">
        <x:v>4</x:v>
      </x:c>
      <x:c r="B17" s="15" t="str">
        <x:v>Median of Two Sorted Arrays</x:v>
      </x:c>
      <x:c r="C17" s="15" t="str">
        <x:v>Previous chat history / solved practice</x:v>
      </x:c>
      <x:c r="D17" s="15" t="str">
        <x:v>Likely / known from chat</x:v>
      </x:c>
      <x:c r="E17" s="15" t="str">
        <x:v>Marked Done in main sheet</x:v>
      </x:c>
    </x:row>
    <x:row r="18">
      <x:c r="A18" s="15" t="n">
        <x:v>5</x:v>
      </x:c>
      <x:c r="B18" s="15" t="str">
        <x:v>Longest Palindromic Substring</x:v>
      </x:c>
      <x:c r="C18" s="15" t="str">
        <x:v>Screenshot/recent profile</x:v>
      </x:c>
      <x:c r="D18" s="15" t="str">
        <x:v>Confirmed visible</x:v>
      </x:c>
      <x:c r="E18" s="15" t="str">
        <x:v>Marked Done in main sheet</x:v>
      </x:c>
    </x:row>
    <x:row r="19">
      <x:c r="A19" s="15" t="n">
        <x:v>9</x:v>
      </x:c>
      <x:c r="B19" s="15" t="str">
        <x:v>Palindrome Number</x:v>
      </x:c>
      <x:c r="C19" s="15" t="str">
        <x:v>Previous chat history / solved practice</x:v>
      </x:c>
      <x:c r="D19" s="15" t="str">
        <x:v>Likely / known from chat</x:v>
      </x:c>
      <x:c r="E19" s="15" t="str">
        <x:v>Marked Done in main sheet</x:v>
      </x:c>
    </x:row>
    <x:row r="20">
      <x:c r="A20" s="15" t="n">
        <x:v>13</x:v>
      </x:c>
      <x:c r="B20" s="15" t="str">
        <x:v>Roman to Integer</x:v>
      </x:c>
      <x:c r="C20" s="15" t="str">
        <x:v>Previous chat history / solved practice</x:v>
      </x:c>
      <x:c r="D20" s="15" t="str">
        <x:v>Likely / known from chat</x:v>
      </x:c>
      <x:c r="E20" s="15" t="str">
        <x:v>Marked Done in main sheet</x:v>
      </x:c>
    </x:row>
    <x:row r="21">
      <x:c r="A21" s="15" t="n">
        <x:v>19</x:v>
      </x:c>
      <x:c r="B21" s="15" t="str">
        <x:v>Remove Nth Node From End of List</x:v>
      </x:c>
      <x:c r="C21" s="15" t="str">
        <x:v>Previous chat history / solved practice</x:v>
      </x:c>
      <x:c r="D21" s="15" t="str">
        <x:v>Likely / known from chat</x:v>
      </x:c>
      <x:c r="E21" s="15" t="str">
        <x:v>Marked Done in main sheet</x:v>
      </x:c>
    </x:row>
    <x:row r="22">
      <x:c r="A22" s="15" t="n">
        <x:v>20</x:v>
      </x:c>
      <x:c r="B22" s="15" t="str">
        <x:v>Valid Parentheses</x:v>
      </x:c>
      <x:c r="C22" s="15" t="str">
        <x:v>Previous chat history / solved practice</x:v>
      </x:c>
      <x:c r="D22" s="15" t="str">
        <x:v>Likely / known from chat</x:v>
      </x:c>
      <x:c r="E22" s="15" t="str">
        <x:v>Marked Done in main sheet</x:v>
      </x:c>
    </x:row>
    <x:row r="23">
      <x:c r="A23" s="15" t="n">
        <x:v>21</x:v>
      </x:c>
      <x:c r="B23" s="15" t="str">
        <x:v>Merge Two Sorted Lists</x:v>
      </x:c>
      <x:c r="C23" s="15" t="str">
        <x:v>Previous chat history / solved practice</x:v>
      </x:c>
      <x:c r="D23" s="15" t="str">
        <x:v>Likely / known from chat</x:v>
      </x:c>
      <x:c r="E23" s="15" t="str">
        <x:v>Marked Done in main sheet</x:v>
      </x:c>
    </x:row>
    <x:row r="24">
      <x:c r="A24" s="15" t="n">
        <x:v>26</x:v>
      </x:c>
      <x:c r="B24" s="15" t="str">
        <x:v>Remove Duplicates from Sorted Array</x:v>
      </x:c>
      <x:c r="C24" s="15" t="str">
        <x:v>Previous chat history / solved practice</x:v>
      </x:c>
      <x:c r="D24" s="15" t="str">
        <x:v>Likely / known from chat</x:v>
      </x:c>
      <x:c r="E24" s="15" t="str">
        <x:v>Marked Done in main sheet</x:v>
      </x:c>
    </x:row>
    <x:row r="25">
      <x:c r="A25" s="15" t="n">
        <x:v>48</x:v>
      </x:c>
      <x:c r="B25" s="15" t="str">
        <x:v>Rotate Image</x:v>
      </x:c>
      <x:c r="C25" s="15" t="str">
        <x:v>Previous chat history / solved practice</x:v>
      </x:c>
      <x:c r="D25" s="15" t="str">
        <x:v>Likely / known from chat</x:v>
      </x:c>
      <x:c r="E25" s="15" t="str">
        <x:v>Marked Done in main sheet</x:v>
      </x:c>
    </x:row>
    <x:row r="26">
      <x:c r="A26" s="15" t="n">
        <x:v>53</x:v>
      </x:c>
      <x:c r="B26" s="15" t="str">
        <x:v>Maximum Subarray</x:v>
      </x:c>
      <x:c r="C26" s="15" t="str">
        <x:v>Previous chat history / solved practice</x:v>
      </x:c>
      <x:c r="D26" s="15" t="str">
        <x:v>Likely / known from chat</x:v>
      </x:c>
      <x:c r="E26" s="15" t="str">
        <x:v>Marked Done in main sheet</x:v>
      </x:c>
    </x:row>
    <x:row r="27">
      <x:c r="A27" s="15" t="n">
        <x:v>54</x:v>
      </x:c>
      <x:c r="B27" s="15" t="str">
        <x:v>Spiral Matrix</x:v>
      </x:c>
      <x:c r="C27" s="15" t="str">
        <x:v>Screenshot/recent profile</x:v>
      </x:c>
      <x:c r="D27" s="15" t="str">
        <x:v>Confirmed visible</x:v>
      </x:c>
      <x:c r="E27" s="15" t="str">
        <x:v>Marked Done in main sheet</x:v>
      </x:c>
    </x:row>
    <x:row r="28">
      <x:c r="A28" s="15" t="n">
        <x:v>70</x:v>
      </x:c>
      <x:c r="B28" s="15" t="str">
        <x:v>Climbing Stairs</x:v>
      </x:c>
      <x:c r="C28" s="15" t="str">
        <x:v>Previous chat history / solved practice</x:v>
      </x:c>
      <x:c r="D28" s="15" t="str">
        <x:v>Likely / known from chat</x:v>
      </x:c>
      <x:c r="E28" s="15" t="str">
        <x:v>Marked Done in main sheet</x:v>
      </x:c>
    </x:row>
    <x:row r="29">
      <x:c r="A29" s="15" t="n">
        <x:v>73</x:v>
      </x:c>
      <x:c r="B29" s="15" t="str">
        <x:v>Set Matrix Zeroes</x:v>
      </x:c>
      <x:c r="C29" s="15" t="str">
        <x:v>Previous chat history / solved practice</x:v>
      </x:c>
      <x:c r="D29" s="15" t="str">
        <x:v>Likely / known from chat</x:v>
      </x:c>
      <x:c r="E29" s="15" t="str">
        <x:v>Marked Done in main sheet</x:v>
      </x:c>
    </x:row>
    <x:row r="30">
      <x:c r="A30" s="15" t="n">
        <x:v>75</x:v>
      </x:c>
      <x:c r="B30" s="15" t="str">
        <x:v>Sort Colors</x:v>
      </x:c>
      <x:c r="C30" s="15" t="str">
        <x:v>Screenshot/recent profile</x:v>
      </x:c>
      <x:c r="D30" s="15" t="str">
        <x:v>Confirmed visible</x:v>
      </x:c>
      <x:c r="E30" s="15" t="str">
        <x:v>Marked Done in main sheet</x:v>
      </x:c>
    </x:row>
    <x:row r="31">
      <x:c r="A31" s="15" t="n">
        <x:v>88</x:v>
      </x:c>
      <x:c r="B31" s="15" t="str">
        <x:v>Merge Sorted Array</x:v>
      </x:c>
      <x:c r="C31" s="15" t="str">
        <x:v>Previous chat history / solved practice</x:v>
      </x:c>
      <x:c r="D31" s="15" t="str">
        <x:v>Likely / known from chat</x:v>
      </x:c>
      <x:c r="E31" s="15" t="str">
        <x:v>Marked Done in main sheet</x:v>
      </x:c>
    </x:row>
    <x:row r="32">
      <x:c r="A32" s="15" t="n">
        <x:v>121</x:v>
      </x:c>
      <x:c r="B32" s="15" t="str">
        <x:v>Best Time to Buy and Sell Stock</x:v>
      </x:c>
      <x:c r="C32" s="15" t="str">
        <x:v>Previous chat history / solved practice</x:v>
      </x:c>
      <x:c r="D32" s="15" t="str">
        <x:v>Likely / known from chat</x:v>
      </x:c>
      <x:c r="E32" s="15" t="str">
        <x:v>Marked Done in main sheet</x:v>
      </x:c>
    </x:row>
    <x:row r="33">
      <x:c r="A33" s="15" t="n">
        <x:v>136</x:v>
      </x:c>
      <x:c r="B33" s="15" t="str">
        <x:v>Single Number</x:v>
      </x:c>
      <x:c r="C33" s="15" t="str">
        <x:v>Previous chat history / solved practice</x:v>
      </x:c>
      <x:c r="D33" s="15" t="str">
        <x:v>Likely / known from chat</x:v>
      </x:c>
      <x:c r="E33" s="15" t="str">
        <x:v>Marked Done in main sheet</x:v>
      </x:c>
    </x:row>
    <x:row r="34">
      <x:c r="A34" s="15" t="n">
        <x:v>141</x:v>
      </x:c>
      <x:c r="B34" s="15" t="str">
        <x:v>Linked List Cycle</x:v>
      </x:c>
      <x:c r="C34" s="15" t="str">
        <x:v>Previous chat history / solved practice</x:v>
      </x:c>
      <x:c r="D34" s="15" t="str">
        <x:v>Likely / known from chat</x:v>
      </x:c>
      <x:c r="E34" s="15" t="str">
        <x:v>Marked Done in main sheet</x:v>
      </x:c>
    </x:row>
    <x:row r="35">
      <x:c r="A35" s="15" t="n">
        <x:v>142</x:v>
      </x:c>
      <x:c r="B35" s="15" t="str">
        <x:v>Linked List Cycle II</x:v>
      </x:c>
      <x:c r="C35" s="15" t="str">
        <x:v>Previous chat history / solved practice</x:v>
      </x:c>
      <x:c r="D35" s="15" t="str">
        <x:v>Likely / known from chat</x:v>
      </x:c>
      <x:c r="E35" s="15" t="str">
        <x:v>Marked Done in main sheet</x:v>
      </x:c>
    </x:row>
    <x:row r="36">
      <x:c r="A36" s="15" t="n">
        <x:v>143</x:v>
      </x:c>
      <x:c r="B36" s="15" t="str">
        <x:v>Reorder List</x:v>
      </x:c>
      <x:c r="C36" s="15" t="str">
        <x:v>Previous chat history / solved practice</x:v>
      </x:c>
      <x:c r="D36" s="15" t="str">
        <x:v>Likely / known from chat</x:v>
      </x:c>
      <x:c r="E36" s="15" t="str">
        <x:v>Marked Done in main sheet</x:v>
      </x:c>
    </x:row>
    <x:row r="37">
      <x:c r="A37" s="15" t="n">
        <x:v>148</x:v>
      </x:c>
      <x:c r="B37" s="15" t="str">
        <x:v>Sort List</x:v>
      </x:c>
      <x:c r="C37" s="15" t="str">
        <x:v>Previous chat history / solved practice</x:v>
      </x:c>
      <x:c r="D37" s="15" t="str">
        <x:v>Likely / known from chat</x:v>
      </x:c>
      <x:c r="E37" s="15" t="str">
        <x:v>Marked Done in main sheet</x:v>
      </x:c>
    </x:row>
    <x:row r="38">
      <x:c r="A38" s="15" t="n">
        <x:v>152</x:v>
      </x:c>
      <x:c r="B38" s="15" t="str">
        <x:v>Maximum Product Subarray</x:v>
      </x:c>
      <x:c r="C38" s="15" t="str">
        <x:v>Previous chat history / solved practice</x:v>
      </x:c>
      <x:c r="D38" s="15" t="str">
        <x:v>Likely / known from chat</x:v>
      </x:c>
      <x:c r="E38" s="15" t="str">
        <x:v>Marked Done in main sheet</x:v>
      </x:c>
    </x:row>
    <x:row r="39">
      <x:c r="A39" s="15" t="n">
        <x:v>153</x:v>
      </x:c>
      <x:c r="B39" s="15" t="str">
        <x:v>Find Minimum in Rotated Sorted Array</x:v>
      </x:c>
      <x:c r="C39" s="15" t="str">
        <x:v>Previous chat history / solved practice</x:v>
      </x:c>
      <x:c r="D39" s="15" t="str">
        <x:v>Likely / known from chat</x:v>
      </x:c>
      <x:c r="E39" s="15" t="str">
        <x:v>Marked Done in main sheet</x:v>
      </x:c>
    </x:row>
    <x:row r="40">
      <x:c r="A40" s="15" t="n">
        <x:v>155</x:v>
      </x:c>
      <x:c r="B40" s="15" t="str">
        <x:v>Min Stack</x:v>
      </x:c>
      <x:c r="C40" s="15" t="str">
        <x:v>Previous chat history / solved practice</x:v>
      </x:c>
      <x:c r="D40" s="15" t="str">
        <x:v>Likely / known from chat</x:v>
      </x:c>
      <x:c r="E40" s="15" t="str">
        <x:v>Marked Done in main sheet</x:v>
      </x:c>
    </x:row>
    <x:row r="41">
      <x:c r="A41" s="15" t="n">
        <x:v>160</x:v>
      </x:c>
      <x:c r="B41" s="15" t="str">
        <x:v>Intersection of Two Linked Lists</x:v>
      </x:c>
      <x:c r="C41" s="15" t="str">
        <x:v>Previous chat history / solved practice</x:v>
      </x:c>
      <x:c r="D41" s="15" t="str">
        <x:v>Likely / known from chat</x:v>
      </x:c>
      <x:c r="E41" s="15" t="str">
        <x:v>Marked Done in main sheet</x:v>
      </x:c>
    </x:row>
    <x:row r="42">
      <x:c r="A42" s="15" t="n">
        <x:v>169</x:v>
      </x:c>
      <x:c r="B42" s="15" t="str">
        <x:v>Majority Element</x:v>
      </x:c>
      <x:c r="C42" s="15" t="str">
        <x:v>Previous chat history / solved practice</x:v>
      </x:c>
      <x:c r="D42" s="15" t="str">
        <x:v>Likely / known from chat</x:v>
      </x:c>
      <x:c r="E42" s="15" t="str">
        <x:v>Marked Done in main sheet</x:v>
      </x:c>
    </x:row>
    <x:row r="43">
      <x:c r="A43" s="15" t="n">
        <x:v>203</x:v>
      </x:c>
      <x:c r="B43" s="15" t="str">
        <x:v>Remove Linked List Elements</x:v>
      </x:c>
      <x:c r="C43" s="15" t="str">
        <x:v>Previous chat history / solved practice</x:v>
      </x:c>
      <x:c r="D43" s="15" t="str">
        <x:v>Likely / known from chat</x:v>
      </x:c>
      <x:c r="E43" s="15" t="str">
        <x:v>Marked Done in main sheet</x:v>
      </x:c>
    </x:row>
    <x:row r="44">
      <x:c r="A44" s="15" t="n">
        <x:v>206</x:v>
      </x:c>
      <x:c r="B44" s="15" t="str">
        <x:v>Reverse Linked List</x:v>
      </x:c>
      <x:c r="C44" s="15" t="str">
        <x:v>Previous chat history / solved practice</x:v>
      </x:c>
      <x:c r="D44" s="15" t="str">
        <x:v>Likely / known from chat</x:v>
      </x:c>
      <x:c r="E44" s="15" t="str">
        <x:v>Marked Done in main sheet</x:v>
      </x:c>
    </x:row>
    <x:row r="45">
      <x:c r="A45" s="15" t="n">
        <x:v>215</x:v>
      </x:c>
      <x:c r="B45" s="15" t="str">
        <x:v>Kth Largest Element in an Array</x:v>
      </x:c>
      <x:c r="C45" s="15" t="str">
        <x:v>Previous chat history / solved practice</x:v>
      </x:c>
      <x:c r="D45" s="15" t="str">
        <x:v>Likely / known from chat</x:v>
      </x:c>
      <x:c r="E45" s="15" t="str">
        <x:v>Marked Done in main sheet</x:v>
      </x:c>
    </x:row>
    <x:row r="46">
      <x:c r="A46" s="15" t="n">
        <x:v>217</x:v>
      </x:c>
      <x:c r="B46" s="15" t="str">
        <x:v>Contains Duplicate</x:v>
      </x:c>
      <x:c r="C46" s="15" t="str">
        <x:v>Previous chat history / solved practice</x:v>
      </x:c>
      <x:c r="D46" s="15" t="str">
        <x:v>Likely / known from chat</x:v>
      </x:c>
      <x:c r="E46" s="15" t="str">
        <x:v>Marked Done in main sheet</x:v>
      </x:c>
    </x:row>
    <x:row r="47">
      <x:c r="A47" s="15" t="n">
        <x:v>231</x:v>
      </x:c>
      <x:c r="B47" s="15" t="str">
        <x:v>Power of Two</x:v>
      </x:c>
      <x:c r="C47" s="15" t="str">
        <x:v>Previous chat history / solved practice</x:v>
      </x:c>
      <x:c r="D47" s="15" t="str">
        <x:v>Likely / known from chat</x:v>
      </x:c>
      <x:c r="E47" s="15" t="str">
        <x:v>Marked Done in main sheet</x:v>
      </x:c>
    </x:row>
    <x:row r="48">
      <x:c r="A48" s="15" t="n">
        <x:v>234</x:v>
      </x:c>
      <x:c r="B48" s="15" t="str">
        <x:v>Palindrome Linked List</x:v>
      </x:c>
      <x:c r="C48" s="15" t="str">
        <x:v>Previous chat history / solved practice</x:v>
      </x:c>
      <x:c r="D48" s="15" t="str">
        <x:v>Likely / known from chat</x:v>
      </x:c>
      <x:c r="E48" s="15" t="str">
        <x:v>Marked Done in main sheet</x:v>
      </x:c>
    </x:row>
    <x:row r="49">
      <x:c r="A49" s="15" t="n">
        <x:v>238</x:v>
      </x:c>
      <x:c r="B49" s="15" t="str">
        <x:v>Product of Array Except Self</x:v>
      </x:c>
      <x:c r="C49" s="15" t="str">
        <x:v>Previous chat history / solved practice</x:v>
      </x:c>
      <x:c r="D49" s="15" t="str">
        <x:v>Likely / known from chat</x:v>
      </x:c>
      <x:c r="E49" s="15" t="str">
        <x:v>Marked Done in main sheet</x:v>
      </x:c>
    </x:row>
    <x:row r="50">
      <x:c r="A50" s="15" t="n">
        <x:v>268</x:v>
      </x:c>
      <x:c r="B50" s="15" t="str">
        <x:v>Missing Number</x:v>
      </x:c>
      <x:c r="C50" s="15" t="str">
        <x:v>Previous chat history / solved practice</x:v>
      </x:c>
      <x:c r="D50" s="15" t="str">
        <x:v>Likely / known from chat</x:v>
      </x:c>
      <x:c r="E50" s="15" t="str">
        <x:v>Marked Done in main sheet</x:v>
      </x:c>
    </x:row>
    <x:row r="51">
      <x:c r="A51" s="15" t="n">
        <x:v>283</x:v>
      </x:c>
      <x:c r="B51" s="15" t="str">
        <x:v>Move Zeroes</x:v>
      </x:c>
      <x:c r="C51" s="15" t="str">
        <x:v>Previous chat history / solved practice</x:v>
      </x:c>
      <x:c r="D51" s="15" t="str">
        <x:v>Likely / known from chat</x:v>
      </x:c>
      <x:c r="E51" s="15" t="str">
        <x:v>Marked Done in main sheet</x:v>
      </x:c>
    </x:row>
    <x:row r="52">
      <x:c r="A52" s="15" t="n">
        <x:v>326</x:v>
      </x:c>
      <x:c r="B52" s="15" t="str">
        <x:v>Power of Three</x:v>
      </x:c>
      <x:c r="C52" s="15" t="str">
        <x:v>Previous chat history / solved practice</x:v>
      </x:c>
      <x:c r="D52" s="15" t="str">
        <x:v>Likely / known from chat</x:v>
      </x:c>
      <x:c r="E52" s="15" t="str">
        <x:v>Marked Done in main sheet</x:v>
      </x:c>
    </x:row>
    <x:row r="53">
      <x:c r="A53" s="15" t="n">
        <x:v>344</x:v>
      </x:c>
      <x:c r="B53" s="15" t="str">
        <x:v>Reverse String</x:v>
      </x:c>
      <x:c r="C53" s="15" t="str">
        <x:v>Previous chat history / solved practice</x:v>
      </x:c>
      <x:c r="D53" s="15" t="str">
        <x:v>Likely / known from chat</x:v>
      </x:c>
      <x:c r="E53" s="15" t="str">
        <x:v>Marked Done in main sheet</x:v>
      </x:c>
    </x:row>
    <x:row r="54">
      <x:c r="A54" s="15" t="n">
        <x:v>349</x:v>
      </x:c>
      <x:c r="B54" s="15" t="str">
        <x:v>Intersection of Two Arrays</x:v>
      </x:c>
      <x:c r="C54" s="15" t="str">
        <x:v>Previous chat history / solved practice</x:v>
      </x:c>
      <x:c r="D54" s="15" t="str">
        <x:v>Likely / known from chat</x:v>
      </x:c>
      <x:c r="E54" s="15" t="str">
        <x:v>Marked Done in main sheet</x:v>
      </x:c>
    </x:row>
    <x:row r="55">
      <x:c r="A55" s="15" t="n">
        <x:v>704</x:v>
      </x:c>
      <x:c r="B55" s="15" t="str">
        <x:v>Binary Search</x:v>
      </x:c>
      <x:c r="C55" s="15" t="str">
        <x:v>Previous chat history / solved practice</x:v>
      </x:c>
      <x:c r="D55" s="15" t="str">
        <x:v>Likely / known from chat</x:v>
      </x:c>
      <x:c r="E55" s="15" t="str">
        <x:v>Marked Done in main sheet</x:v>
      </x:c>
    </x:row>
    <x:row r="56">
      <x:c r="A56" s="15" t="n">
        <x:v>709</x:v>
      </x:c>
      <x:c r="B56" s="15" t="str">
        <x:v>To Lower Case</x:v>
      </x:c>
      <x:c r="C56" s="15" t="str">
        <x:v>Previous chat history / solved practice</x:v>
      </x:c>
      <x:c r="D56" s="15" t="str">
        <x:v>Likely / known from chat</x:v>
      </x:c>
      <x:c r="E56" s="15" t="str">
        <x:v>Marked Done in main sheet</x:v>
      </x:c>
    </x:row>
    <x:row r="57">
      <x:c r="A57" s="15" t="n">
        <x:v>876</x:v>
      </x:c>
      <x:c r="B57" s="15" t="str">
        <x:v>Middle of the Linked List</x:v>
      </x:c>
      <x:c r="C57" s="15" t="str">
        <x:v>Previous chat history / solved practice</x:v>
      </x:c>
      <x:c r="D57" s="15" t="str">
        <x:v>Likely / known from chat</x:v>
      </x:c>
      <x:c r="E57" s="15" t="str">
        <x:v>Marked Done in main sheet</x:v>
      </x:c>
    </x:row>
    <x:row r="58">
      <x:c r="A58" s="15" t="n">
        <x:v>1470</x:v>
      </x:c>
      <x:c r="B58" s="15" t="str">
        <x:v>Shuffle the Array</x:v>
      </x:c>
      <x:c r="C58" s="15" t="str">
        <x:v>Previous chat history / solved practice</x:v>
      </x:c>
      <x:c r="D58" s="15" t="str">
        <x:v>Likely / known from chat</x:v>
      </x:c>
      <x:c r="E58" s="15" t="str">
        <x:v>Marked Done in main sheet</x:v>
      </x:c>
    </x:row>
    <x:row r="59">
      <x:c r="A59" s="15" t="n">
        <x:v>1920</x:v>
      </x:c>
      <x:c r="B59" s="15" t="str">
        <x:v>Build Array from Permutation</x:v>
      </x:c>
      <x:c r="C59" s="15" t="str">
        <x:v>Previous chat history / solved practice</x:v>
      </x:c>
      <x:c r="D59" s="15" t="str">
        <x:v>Likely / known from chat</x:v>
      </x:c>
      <x:c r="E59" s="15" t="str">
        <x:v>Marked Done in main sheet</x:v>
      </x:c>
    </x:row>
    <x:row r="60">
      <x:c r="A60" s="15" t="n">
        <x:v>1929</x:v>
      </x:c>
      <x:c r="B60" s="15" t="str">
        <x:v>Concatenation of Array</x:v>
      </x:c>
      <x:c r="C60" s="15" t="str">
        <x:v>Previous chat history / solved practice</x:v>
      </x:c>
      <x:c r="D60" s="15" t="str">
        <x:v>Likely / known from chat</x:v>
      </x:c>
      <x:c r="E60" s="15" t="str">
        <x:v>Marked Done in main sheet</x:v>
      </x:c>
    </x:row>
    <x:row r="61">
      <x:c r="A61" s="15"/>
      <x:c r="B61" s="15"/>
      <x:c r="C61" s="15"/>
      <x:c r="D61" s="15"/>
      <x:c r="E61" s="15"/>
    </x:row>
    <x:row r="62">
      <x:c r="A62" s="15"/>
      <x:c r="B62" s="15"/>
      <x:c r="C62" s="15"/>
      <x:c r="D62" s="15"/>
      <x:c r="E62" s="15"/>
    </x:row>
    <x:row r="63">
      <x:c r="A63" s="15"/>
      <x:c r="B63" s="15"/>
      <x:c r="C63" s="15"/>
      <x:c r="D63" s="15"/>
      <x:c r="E63" s="15"/>
    </x:row>
    <x:row r="64">
      <x:c r="A64" s="15"/>
      <x:c r="B64" s="15"/>
      <x:c r="C64" s="15"/>
      <x:c r="D64" s="15"/>
      <x:c r="E64" s="15"/>
    </x:row>
    <x:row r="65">
      <x:c r="A65" s="15"/>
      <x:c r="B65" s="15"/>
      <x:c r="C65" s="15"/>
      <x:c r="D65" s="15"/>
      <x:c r="E65" s="15"/>
    </x:row>
    <x:row r="66">
      <x:c r="A66" s="15"/>
      <x:c r="B66" s="15"/>
      <x:c r="C66" s="15"/>
      <x:c r="D66" s="15"/>
      <x:c r="E66" s="15"/>
    </x:row>
    <x:row r="67">
      <x:c r="A67" s="15"/>
      <x:c r="B67" s="15"/>
      <x:c r="C67" s="15"/>
      <x:c r="D67" s="15"/>
      <x:c r="E67" s="15"/>
    </x:row>
    <x:row r="68">
      <x:c r="A68" s="15"/>
      <x:c r="B68" s="15"/>
      <x:c r="C68" s="15"/>
      <x:c r="D68" s="15"/>
      <x:c r="E68" s="15"/>
    </x:row>
    <x:row r="69">
      <x:c r="A69" s="15"/>
      <x:c r="B69" s="15"/>
      <x:c r="C69" s="15"/>
      <x:c r="D69" s="15"/>
      <x:c r="E69" s="15"/>
    </x:row>
    <x:row r="70">
      <x:c r="A70" s="15"/>
      <x:c r="B70" s="15"/>
      <x:c r="C70" s="15"/>
      <x:c r="D70" s="15"/>
      <x:c r="E70" s="15"/>
    </x:row>
    <x:row r="71">
      <x:c r="A71" s="15"/>
      <x:c r="B71" s="15"/>
      <x:c r="C71" s="15"/>
      <x:c r="D71" s="15"/>
      <x:c r="E71" s="15"/>
    </x:row>
    <x:row r="72">
      <x:c r="A72" s="15"/>
      <x:c r="B72" s="15"/>
      <x:c r="C72" s="15"/>
      <x:c r="D72" s="15"/>
      <x:c r="E72" s="15"/>
    </x:row>
    <x:row r="73">
      <x:c r="A73" s="15"/>
      <x:c r="B73" s="15"/>
      <x:c r="C73" s="15"/>
      <x:c r="D73" s="15"/>
      <x:c r="E73" s="15"/>
    </x:row>
    <x:row r="74">
      <x:c r="A74" s="15"/>
      <x:c r="B74" s="15"/>
      <x:c r="C74" s="15"/>
      <x:c r="D74" s="15"/>
      <x:c r="E74" s="15"/>
    </x:row>
    <x:row r="75">
      <x:c r="A75" s="15"/>
      <x:c r="B75" s="15"/>
      <x:c r="C75" s="15"/>
      <x:c r="D75" s="15"/>
      <x:c r="E75" s="15"/>
    </x:row>
    <x:row r="76">
      <x:c r="A76" s="15"/>
      <x:c r="B76" s="15"/>
      <x:c r="C76" s="15"/>
      <x:c r="D76" s="15"/>
      <x:c r="E76" s="15"/>
    </x:row>
    <x:row r="77">
      <x:c r="A77" s="15"/>
      <x:c r="B77" s="15"/>
      <x:c r="C77" s="15"/>
      <x:c r="D77" s="15"/>
      <x:c r="E77" s="15"/>
    </x:row>
    <x:row r="78">
      <x:c r="A78" s="15"/>
      <x:c r="B78" s="15"/>
      <x:c r="C78" s="15"/>
      <x:c r="D78" s="15"/>
      <x:c r="E78" s="15"/>
    </x:row>
    <x:row r="79">
      <x:c r="A79" s="15"/>
      <x:c r="B79" s="15"/>
      <x:c r="C79" s="15"/>
      <x:c r="D79" s="15"/>
      <x:c r="E79" s="15"/>
    </x:row>
    <x:row r="80">
      <x:c r="A80" s="15"/>
      <x:c r="B80" s="15"/>
      <x:c r="C80" s="15"/>
      <x:c r="D80" s="15"/>
      <x:c r="E80" s="15"/>
    </x:row>
    <x:row r="81">
      <x:c r="A81" s="15"/>
      <x:c r="B81" s="15"/>
      <x:c r="C81" s="15"/>
      <x:c r="D81" s="15"/>
      <x:c r="E81" s="15"/>
    </x:row>
    <x:row r="82">
      <x:c r="A82" s="15"/>
      <x:c r="B82" s="15"/>
      <x:c r="C82" s="15"/>
      <x:c r="D82" s="15"/>
      <x:c r="E82" s="15"/>
    </x:row>
    <x:row r="83">
      <x:c r="A83" s="15"/>
      <x:c r="B83" s="15"/>
      <x:c r="C83" s="15"/>
      <x:c r="D83" s="15"/>
      <x:c r="E83" s="15"/>
    </x:row>
    <x:row r="84">
      <x:c r="A84" s="15"/>
      <x:c r="B84" s="15"/>
      <x:c r="C84" s="15"/>
      <x:c r="D84" s="15"/>
      <x:c r="E84" s="15"/>
    </x:row>
    <x:row r="85">
      <x:c r="A85" s="15"/>
      <x:c r="B85" s="15"/>
      <x:c r="C85" s="15"/>
      <x:c r="D85" s="15"/>
      <x:c r="E85" s="15"/>
    </x:row>
    <x:row r="86">
      <x:c r="A86" s="15"/>
      <x:c r="B86" s="15"/>
      <x:c r="C86" s="15"/>
      <x:c r="D86" s="15"/>
      <x:c r="E86" s="15"/>
    </x:row>
    <x:row r="87">
      <x:c r="A87" s="15"/>
      <x:c r="B87" s="15"/>
      <x:c r="C87" s="15"/>
      <x:c r="D87" s="15"/>
      <x:c r="E87" s="15"/>
    </x:row>
    <x:row r="88">
      <x:c r="A88" s="15"/>
      <x:c r="B88" s="15"/>
      <x:c r="C88" s="15"/>
      <x:c r="D88" s="15"/>
      <x:c r="E88" s="15"/>
    </x:row>
    <x:row r="89">
      <x:c r="A89" s="15"/>
      <x:c r="B89" s="15"/>
      <x:c r="C89" s="15"/>
      <x:c r="D89" s="15"/>
      <x:c r="E89" s="15"/>
    </x:row>
    <x:row r="90">
      <x:c r="A90" s="15"/>
      <x:c r="B90" s="15"/>
      <x:c r="C90" s="15"/>
      <x:c r="D90" s="15"/>
      <x:c r="E90" s="15"/>
    </x:row>
    <x:row r="91">
      <x:c r="A91" s="15"/>
      <x:c r="B91" s="15"/>
      <x:c r="C91" s="15"/>
      <x:c r="D91" s="15"/>
      <x:c r="E91" s="15"/>
    </x:row>
    <x:row r="92">
      <x:c r="A92" s="15"/>
      <x:c r="B92" s="15"/>
      <x:c r="C92" s="15"/>
      <x:c r="D92" s="15"/>
      <x:c r="E92" s="15"/>
    </x:row>
    <x:row r="93">
      <x:c r="A93" s="15"/>
      <x:c r="B93" s="15"/>
      <x:c r="C93" s="15"/>
      <x:c r="D93" s="15"/>
      <x:c r="E93" s="15"/>
    </x:row>
    <x:row r="94">
      <x:c r="A94" s="15"/>
      <x:c r="B94" s="15"/>
      <x:c r="C94" s="15"/>
      <x:c r="D94" s="15"/>
      <x:c r="E94" s="15"/>
    </x:row>
    <x:row r="95">
      <x:c r="A95" s="15"/>
      <x:c r="B95" s="15"/>
      <x:c r="C95" s="15"/>
      <x:c r="D95" s="15"/>
      <x:c r="E95" s="15"/>
    </x:row>
    <x:row r="96">
      <x:c r="A96" s="15"/>
      <x:c r="B96" s="15"/>
      <x:c r="C96" s="15"/>
      <x:c r="D96" s="15"/>
      <x:c r="E96" s="15"/>
    </x:row>
    <x:row r="97">
      <x:c r="A97" s="15"/>
      <x:c r="B97" s="15"/>
      <x:c r="C97" s="15"/>
      <x:c r="D97" s="15"/>
      <x:c r="E97" s="15"/>
    </x:row>
    <x:row r="98">
      <x:c r="A98" s="15"/>
      <x:c r="B98" s="15"/>
      <x:c r="C98" s="15"/>
      <x:c r="D98" s="15"/>
      <x:c r="E98" s="15"/>
    </x:row>
    <x:row r="99">
      <x:c r="A99" s="15"/>
      <x:c r="B99" s="15"/>
      <x:c r="C99" s="15"/>
      <x:c r="D99" s="15"/>
      <x:c r="E99" s="15"/>
    </x:row>
    <x:row r="100">
      <x:c r="A100" s="15"/>
      <x:c r="B100" s="15"/>
      <x:c r="C100" s="15"/>
      <x:c r="D100" s="15"/>
      <x:c r="E100" s="15"/>
    </x:row>
    <x:row r="101">
      <x:c r="A101" s="15"/>
      <x:c r="B101" s="15"/>
      <x:c r="C101" s="15"/>
      <x:c r="D101" s="15"/>
      <x:c r="E101" s="15"/>
    </x:row>
    <x:row r="102">
      <x:c r="A102" s="15"/>
      <x:c r="B102" s="15"/>
      <x:c r="C102" s="15"/>
      <x:c r="D102" s="15"/>
      <x:c r="E102" s="15"/>
    </x:row>
    <x:row r="103">
      <x:c r="A103" s="15"/>
      <x:c r="B103" s="15"/>
      <x:c r="C103" s="15"/>
      <x:c r="D103" s="15"/>
      <x:c r="E103" s="15"/>
    </x:row>
    <x:row r="104">
      <x:c r="A104" s="15"/>
      <x:c r="B104" s="15"/>
      <x:c r="C104" s="15"/>
      <x:c r="D104" s="15"/>
      <x:c r="E104" s="15"/>
    </x:row>
    <x:row r="105">
      <x:c r="A105" s="15"/>
      <x:c r="B105" s="15"/>
      <x:c r="C105" s="15"/>
      <x:c r="D105" s="15"/>
      <x:c r="E105" s="15"/>
    </x:row>
    <x:row r="106">
      <x:c r="A106" s="15"/>
      <x:c r="B106" s="15"/>
      <x:c r="C106" s="15"/>
      <x:c r="D106" s="15"/>
      <x:c r="E106" s="15"/>
    </x:row>
    <x:row r="107">
      <x:c r="A107" s="15"/>
      <x:c r="B107" s="15"/>
      <x:c r="C107" s="15"/>
      <x:c r="D107" s="15"/>
      <x:c r="E107" s="15"/>
    </x:row>
    <x:row r="108">
      <x:c r="A108" s="15"/>
      <x:c r="B108" s="15"/>
      <x:c r="C108" s="15"/>
      <x:c r="D108" s="15"/>
      <x:c r="E108" s="15"/>
    </x:row>
    <x:row r="109">
      <x:c r="A109" s="15"/>
      <x:c r="B109" s="15"/>
      <x:c r="C109" s="15"/>
      <x:c r="D109" s="15"/>
      <x:c r="E109" s="15"/>
    </x:row>
    <x:row r="110">
      <x:c r="A110" s="15"/>
      <x:c r="B110" s="15"/>
      <x:c r="C110" s="15"/>
      <x:c r="D110" s="15"/>
      <x:c r="E110" s="15"/>
    </x:row>
    <x:row r="111">
      <x:c r="A111" s="15"/>
      <x:c r="B111" s="15"/>
      <x:c r="C111" s="15"/>
      <x:c r="D111" s="15"/>
      <x:c r="E111" s="15"/>
    </x:row>
    <x:row r="112">
      <x:c r="A112" s="15"/>
      <x:c r="B112" s="15"/>
      <x:c r="C112" s="15"/>
      <x:c r="D112" s="15"/>
      <x:c r="E112" s="15"/>
    </x:row>
    <x:row r="113">
      <x:c r="A113" s="15"/>
      <x:c r="B113" s="15"/>
      <x:c r="C113" s="15"/>
      <x:c r="D113" s="15"/>
      <x:c r="E113" s="15"/>
    </x:row>
    <x:row r="114">
      <x:c r="A114" s="15"/>
      <x:c r="B114" s="15"/>
      <x:c r="C114" s="15"/>
      <x:c r="D114" s="15"/>
      <x:c r="E114" s="15"/>
    </x:row>
    <x:row r="115">
      <x:c r="A115" s="15"/>
      <x:c r="B115" s="15"/>
      <x:c r="C115" s="15"/>
      <x:c r="D115" s="15"/>
      <x:c r="E115" s="15"/>
    </x:row>
    <x:row r="116">
      <x:c r="A116" s="15"/>
      <x:c r="B116" s="15"/>
      <x:c r="C116" s="15"/>
      <x:c r="D116" s="15"/>
      <x:c r="E116" s="15"/>
    </x:row>
    <x:row r="117">
      <x:c r="A117" s="15"/>
      <x:c r="B117" s="15"/>
      <x:c r="C117" s="15"/>
      <x:c r="D117" s="15"/>
      <x:c r="E117" s="15"/>
    </x:row>
    <x:row r="118">
      <x:c r="A118" s="15"/>
      <x:c r="B118" s="15"/>
      <x:c r="C118" s="15"/>
      <x:c r="D118" s="15"/>
      <x:c r="E118" s="15"/>
    </x:row>
    <x:row r="119">
      <x:c r="A119" s="15"/>
      <x:c r="B119" s="15"/>
      <x:c r="C119" s="15"/>
      <x:c r="D119" s="15"/>
      <x:c r="E119" s="15"/>
    </x:row>
    <x:row r="120">
      <x:c r="A120" s="15"/>
      <x:c r="B120" s="15"/>
      <x:c r="C120" s="15"/>
      <x:c r="D120" s="15"/>
      <x:c r="E120" s="15"/>
    </x:row>
  </x:sheetData>
  <x:mergeCells>
    <x:mergeCell ref="A1:H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10" hidden="0" customWidth="1"/>
  </x:cols>
  <x:sheetData>
    <x:row r="1" ht="28" customHeight="1">
      <x:c r="A1" s="52" t="str">
        <x:v>How to use this tracker</x:v>
      </x:c>
    </x:row>
    <x:row r="2">
      <x:c r="A2" s="53" t="str">
        <x:v>1. Start from 07-Jul-2026. First 100 remaining problems are scheduled at 1 problem/day.</x:v>
      </x:c>
    </x:row>
    <x:row r="3">
      <x:c r="A3" s="53" t="str">
        <x:v>2. After that, the sheet automatically switches to 2/day and then 3/day scheduling for remaining unsolved problems.</x:v>
      </x:c>
    </x:row>
    <x:row r="4">
      <x:c r="A4" s="53" t="str">
        <x:v>3. Problems are topic-wise, not random: finish one data structure block before moving to the next.</x:v>
      </x:c>
    </x:row>
    <x:row r="5">
      <x:c r="A5" s="53" t="str">
        <x:v>4. Update Status daily: Not Started → In Progress → Done. Add mistakes in Notes and pattern in Pattern Learned.</x:v>
      </x:c>
    </x:row>
    <x:row r="6">
      <x:c r="A6" s="53" t="str">
        <x:v>5. Use Topic Summary to see exactly which DSA topic is completed.</x:v>
      </x:c>
    </x:row>
    <x:row r="7">
      <x:c r="A7" s="53" t="str">
        <x:v>6. Public LeetCode profile shows solved counts but not the full solved title list without login/API access. Paste exact accepted list in Solved Import later if needed.</x:v>
      </x:c>
    </x:row>
    <x:row r="8">
      <x:c r="A8" t="str">
        <x:v>Update: Recursion Basics block has been added before Backtracking, so recursion fundamentals are covered separately.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2" hidden="0" customWidth="1"/>
    <x:col min="3" max="3" width="10" hidden="0" customWidth="1"/>
    <x:col min="4" max="4" width="38" hidden="0" customWidth="1"/>
    <x:col min="5" max="5" width="46" hidden="0" customWidth="1"/>
    <x:col min="6" max="6" width="14" hidden="0" customWidth="1"/>
    <x:col min="7" max="7" width="13" hidden="0" customWidth="1"/>
    <x:col min="8" max="8" width="24" hidden="0" customWidth="1"/>
  </x:cols>
  <x:sheetData>
    <x:row r="1" ht="28" customHeight="1">
      <x:c r="A1" s="233" t="str">
        <x:v>Topic-wise LeetCode 500 list with gaps between DSA topics</x:v>
      </x:c>
      <x:c r="B1" s="233"/>
      <x:c r="C1" s="233"/>
      <x:c r="D1" s="233"/>
      <x:c r="E1" s="233"/>
      <x:c r="F1" s="233"/>
      <x:c r="G1" s="234"/>
      <x:c r="H1" s="233"/>
    </x:row>
    <x:row r="2">
      <x:c r="A2"/>
      <x:c r="B2"/>
      <x:c r="C2"/>
      <x:c r="D2"/>
      <x:c r="E2"/>
      <x:c r="F2"/>
      <x:c r="G2"/>
      <x:c r="H2"/>
    </x:row>
    <x:row r="3">
      <x:c r="A3" s="220" t="str">
        <x:v>Arrays &amp; Hashing  —  65 problems</x:v>
      </x:c>
      <x:c r="B3" s="220"/>
      <x:c r="C3" s="220"/>
      <x:c r="D3" s="220"/>
      <x:c r="E3" s="220"/>
      <x:c r="F3" s="220"/>
      <x:c r="G3" s="220"/>
      <x:c r="H3" s="220"/>
    </x:row>
    <x:row r="4">
      <x:c r="A4" s="224" t="str">
        <x:v>Seq</x:v>
      </x:c>
      <x:c r="B4" s="224" t="str">
        <x:v>Difficulty</x:v>
      </x:c>
      <x:c r="C4" s="224" t="str">
        <x:v>LC ID</x:v>
      </x:c>
      <x:c r="D4" s="224" t="str">
        <x:v>Problem Title</x:v>
      </x:c>
      <x:c r="E4" s="224" t="str">
        <x:v>Problem URL</x:v>
      </x:c>
      <x:c r="F4" s="224" t="str">
        <x:v>Status</x:v>
      </x:c>
      <x:c r="G4" s="224" t="str">
        <x:v>Planned Date</x:v>
      </x:c>
      <x:c r="H4" s="224" t="str">
        <x:v>Notes</x:v>
      </x:c>
    </x:row>
    <x:row r="5">
      <x:c r="A5" t="n">
        <x:v>1</x:v>
      </x:c>
      <x:c r="B5" t="str">
        <x:v>Easy</x:v>
      </x:c>
      <x:c r="C5" t="n">
        <x:v>1</x:v>
      </x:c>
      <x:c r="D5" t="str">
        <x:v>Two Sum</x:v>
      </x:c>
      <x:c r="E5" t="str">
        <x:v>https://leetcode.com/problems/two-sum/</x:v>
      </x:c>
      <x:c r="F5" t="str">
        <x:v>Done</x:v>
      </x:c>
      <x:c r="G5" s="36"/>
      <x:c r="H5"/>
    </x:row>
    <x:row r="6">
      <x:c r="A6" t="n">
        <x:v>2</x:v>
      </x:c>
      <x:c r="B6" t="str">
        <x:v>Easy</x:v>
      </x:c>
      <x:c r="C6" t="n">
        <x:v>217</x:v>
      </x:c>
      <x:c r="D6" t="str">
        <x:v>Contains Duplicate</x:v>
      </x:c>
      <x:c r="E6" t="str">
        <x:v>https://leetcode.com/problems/contains-duplicate/</x:v>
      </x:c>
      <x:c r="F6" t="str">
        <x:v>Done</x:v>
      </x:c>
      <x:c r="G6" s="36"/>
      <x:c r="H6"/>
    </x:row>
    <x:row r="7">
      <x:c r="A7" t="n">
        <x:v>3</x:v>
      </x:c>
      <x:c r="B7" t="str">
        <x:v>Easy</x:v>
      </x:c>
      <x:c r="C7" t="n">
        <x:v>242</x:v>
      </x:c>
      <x:c r="D7" t="str">
        <x:v>Valid Anagram</x:v>
      </x:c>
      <x:c r="E7" t="str">
        <x:v>https://leetcode.com/problems/valid-anagram/</x:v>
      </x:c>
      <x:c r="F7" t="str">
        <x:v>Not Started</x:v>
      </x:c>
      <x:c r="G7" s="36" t="n">
        <x:v>46210</x:v>
      </x:c>
      <x:c r="H7"/>
    </x:row>
    <x:row r="8">
      <x:c r="A8" t="n">
        <x:v>4</x:v>
      </x:c>
      <x:c r="B8" t="str">
        <x:v>Medium</x:v>
      </x:c>
      <x:c r="C8" t="n">
        <x:v>49</x:v>
      </x:c>
      <x:c r="D8" t="str">
        <x:v>Group Anagrams</x:v>
      </x:c>
      <x:c r="E8" t="str">
        <x:v>https://leetcode.com/problems/group-anagrams/</x:v>
      </x:c>
      <x:c r="F8" t="str">
        <x:v>Not Started</x:v>
      </x:c>
      <x:c r="G8" s="36" t="n">
        <x:v>46211</x:v>
      </x:c>
      <x:c r="H8"/>
    </x:row>
    <x:row r="9">
      <x:c r="A9" t="n">
        <x:v>5</x:v>
      </x:c>
      <x:c r="B9" t="str">
        <x:v>Medium</x:v>
      </x:c>
      <x:c r="C9" t="n">
        <x:v>347</x:v>
      </x:c>
      <x:c r="D9" t="str">
        <x:v>Top K Frequent Elements</x:v>
      </x:c>
      <x:c r="E9" t="str">
        <x:v>https://leetcode.com/problems/top-k-frequent-elements/</x:v>
      </x:c>
      <x:c r="F9" t="str">
        <x:v>Not Started</x:v>
      </x:c>
      <x:c r="G9" s="36" t="n">
        <x:v>46212</x:v>
      </x:c>
      <x:c r="H9"/>
    </x:row>
    <x:row r="10">
      <x:c r="A10" t="n">
        <x:v>6</x:v>
      </x:c>
      <x:c r="B10" t="str">
        <x:v>Medium</x:v>
      </x:c>
      <x:c r="C10" t="n">
        <x:v>238</x:v>
      </x:c>
      <x:c r="D10" t="str">
        <x:v>Product of Array Except Self</x:v>
      </x:c>
      <x:c r="E10" t="str">
        <x:v>https://leetcode.com/problems/product-of-array-except-self/</x:v>
      </x:c>
      <x:c r="F10" t="str">
        <x:v>Done</x:v>
      </x:c>
      <x:c r="G10" s="36"/>
      <x:c r="H10"/>
    </x:row>
    <x:row r="11">
      <x:c r="A11" t="n">
        <x:v>7</x:v>
      </x:c>
      <x:c r="B11" t="str">
        <x:v>Medium</x:v>
      </x:c>
      <x:c r="C11" t="n">
        <x:v>36</x:v>
      </x:c>
      <x:c r="D11" t="str">
        <x:v>Valid Sudoku</x:v>
      </x:c>
      <x:c r="E11" t="str">
        <x:v>https://leetcode.com/problems/valid-sudoku/</x:v>
      </x:c>
      <x:c r="F11" t="str">
        <x:v>Not Started</x:v>
      </x:c>
      <x:c r="G11" s="36" t="n">
        <x:v>46213</x:v>
      </x:c>
      <x:c r="H11"/>
    </x:row>
    <x:row r="12">
      <x:c r="A12" t="n">
        <x:v>8</x:v>
      </x:c>
      <x:c r="B12" t="str">
        <x:v>Medium</x:v>
      </x:c>
      <x:c r="C12" t="n">
        <x:v>128</x:v>
      </x:c>
      <x:c r="D12" t="str">
        <x:v>Longest Consecutive Sequence</x:v>
      </x:c>
      <x:c r="E12" t="str">
        <x:v>https://leetcode.com/problems/longest-consecutive-sequence/</x:v>
      </x:c>
      <x:c r="F12" t="str">
        <x:v>Not Started</x:v>
      </x:c>
      <x:c r="G12" s="36" t="n">
        <x:v>46214</x:v>
      </x:c>
      <x:c r="H12"/>
    </x:row>
    <x:row r="13">
      <x:c r="A13" t="n">
        <x:v>9</x:v>
      </x:c>
      <x:c r="B13" t="str">
        <x:v>Easy</x:v>
      </x:c>
      <x:c r="C13" t="n">
        <x:v>1929</x:v>
      </x:c>
      <x:c r="D13" t="str">
        <x:v>Concatenation of Array</x:v>
      </x:c>
      <x:c r="E13" t="str">
        <x:v>https://leetcode.com/problems/concatenation-of-array/</x:v>
      </x:c>
      <x:c r="F13" t="str">
        <x:v>Done</x:v>
      </x:c>
      <x:c r="G13" s="36"/>
      <x:c r="H13"/>
    </x:row>
    <x:row r="14">
      <x:c r="A14" t="n">
        <x:v>10</x:v>
      </x:c>
      <x:c r="B14" t="str">
        <x:v>Easy</x:v>
      </x:c>
      <x:c r="C14" t="n">
        <x:v>1920</x:v>
      </x:c>
      <x:c r="D14" t="str">
        <x:v>Build Array from Permutation</x:v>
      </x:c>
      <x:c r="E14" t="str">
        <x:v>https://leetcode.com/problems/build-array-from-permutation/</x:v>
      </x:c>
      <x:c r="F14" t="str">
        <x:v>Done</x:v>
      </x:c>
      <x:c r="G14" s="36"/>
      <x:c r="H14"/>
    </x:row>
    <x:row r="15">
      <x:c r="A15" t="n">
        <x:v>11</x:v>
      </x:c>
      <x:c r="B15" t="str">
        <x:v>Easy</x:v>
      </x:c>
      <x:c r="C15" t="n">
        <x:v>1470</x:v>
      </x:c>
      <x:c r="D15" t="str">
        <x:v>Shuffle the Array</x:v>
      </x:c>
      <x:c r="E15" t="str">
        <x:v>https://leetcode.com/problems/shuffle-the-array/</x:v>
      </x:c>
      <x:c r="F15" t="str">
        <x:v>Done</x:v>
      </x:c>
      <x:c r="G15" s="36"/>
      <x:c r="H15"/>
    </x:row>
    <x:row r="16">
      <x:c r="A16" t="n">
        <x:v>12</x:v>
      </x:c>
      <x:c r="B16" t="str">
        <x:v>Easy</x:v>
      </x:c>
      <x:c r="C16" t="n">
        <x:v>1512</x:v>
      </x:c>
      <x:c r="D16" t="str">
        <x:v>Number of Good Pairs</x:v>
      </x:c>
      <x:c r="E16" t="str">
        <x:v>https://leetcode.com/problems/number-of-good-pairs/</x:v>
      </x:c>
      <x:c r="F16" t="str">
        <x:v>Not Started</x:v>
      </x:c>
      <x:c r="G16" s="36" t="n">
        <x:v>46215</x:v>
      </x:c>
      <x:c r="H16"/>
    </x:row>
    <x:row r="17">
      <x:c r="A17" t="n">
        <x:v>13</x:v>
      </x:c>
      <x:c r="B17" t="str">
        <x:v>Easy</x:v>
      </x:c>
      <x:c r="C17" t="n">
        <x:v>1480</x:v>
      </x:c>
      <x:c r="D17" t="str">
        <x:v>Running Sum of 1d Array</x:v>
      </x:c>
      <x:c r="E17" t="str">
        <x:v>https://leetcode.com/problems/running-sum-of-1d-array/</x:v>
      </x:c>
      <x:c r="F17" t="str">
        <x:v>Not Started</x:v>
      </x:c>
      <x:c r="G17" s="36" t="n">
        <x:v>46216</x:v>
      </x:c>
      <x:c r="H17"/>
    </x:row>
    <x:row r="18">
      <x:c r="A18" t="n">
        <x:v>14</x:v>
      </x:c>
      <x:c r="B18" t="str">
        <x:v>Easy</x:v>
      </x:c>
      <x:c r="C18" t="n">
        <x:v>724</x:v>
      </x:c>
      <x:c r="D18" t="str">
        <x:v>Find Pivot Index</x:v>
      </x:c>
      <x:c r="E18" t="str">
        <x:v>https://leetcode.com/problems/find-pivot-index/</x:v>
      </x:c>
      <x:c r="F18" t="str">
        <x:v>Not Started</x:v>
      </x:c>
      <x:c r="G18" s="36" t="n">
        <x:v>46217</x:v>
      </x:c>
      <x:c r="H18"/>
    </x:row>
    <x:row r="19">
      <x:c r="A19" t="n">
        <x:v>15</x:v>
      </x:c>
      <x:c r="B19" t="str">
        <x:v>Easy</x:v>
      </x:c>
      <x:c r="C19" t="n">
        <x:v>303</x:v>
      </x:c>
      <x:c r="D19" t="str">
        <x:v>Range Sum Query - Immutable</x:v>
      </x:c>
      <x:c r="E19" t="str">
        <x:v>https://leetcode.com/problems/range-sum-query-immutable/</x:v>
      </x:c>
      <x:c r="F19" t="str">
        <x:v>Not Started</x:v>
      </x:c>
      <x:c r="G19" s="36" t="n">
        <x:v>46218</x:v>
      </x:c>
      <x:c r="H19"/>
    </x:row>
    <x:row r="20">
      <x:c r="A20" t="n">
        <x:v>16</x:v>
      </x:c>
      <x:c r="B20" t="str">
        <x:v>Medium</x:v>
      </x:c>
      <x:c r="C20" t="n">
        <x:v>304</x:v>
      </x:c>
      <x:c r="D20" t="str">
        <x:v>Range Sum Query 2D - Immutable</x:v>
      </x:c>
      <x:c r="E20" t="str">
        <x:v>https://leetcode.com/problems/range-sum-query-2d-immutable/</x:v>
      </x:c>
      <x:c r="F20" t="str">
        <x:v>Not Started</x:v>
      </x:c>
      <x:c r="G20" s="36" t="n">
        <x:v>46219</x:v>
      </x:c>
      <x:c r="H20"/>
    </x:row>
    <x:row r="21">
      <x:c r="A21" t="n">
        <x:v>17</x:v>
      </x:c>
      <x:c r="B21" t="str">
        <x:v>Medium</x:v>
      </x:c>
      <x:c r="C21" t="n">
        <x:v>560</x:v>
      </x:c>
      <x:c r="D21" t="str">
        <x:v>Subarray Sum Equals K</x:v>
      </x:c>
      <x:c r="E21" t="str">
        <x:v>https://leetcode.com/problems/subarray-sum-equals-k/</x:v>
      </x:c>
      <x:c r="F21" t="str">
        <x:v>Not Started</x:v>
      </x:c>
      <x:c r="G21" s="36" t="n">
        <x:v>46220</x:v>
      </x:c>
      <x:c r="H21"/>
    </x:row>
    <x:row r="22">
      <x:c r="A22" t="n">
        <x:v>18</x:v>
      </x:c>
      <x:c r="B22" t="str">
        <x:v>Medium</x:v>
      </x:c>
      <x:c r="C22" t="n">
        <x:v>525</x:v>
      </x:c>
      <x:c r="D22" t="str">
        <x:v>Contiguous Array</x:v>
      </x:c>
      <x:c r="E22" t="str">
        <x:v>https://leetcode.com/problems/contiguous-array/</x:v>
      </x:c>
      <x:c r="F22" t="str">
        <x:v>Not Started</x:v>
      </x:c>
      <x:c r="G22" s="36" t="n">
        <x:v>46221</x:v>
      </x:c>
      <x:c r="H22"/>
    </x:row>
    <x:row r="23">
      <x:c r="A23" t="n">
        <x:v>19</x:v>
      </x:c>
      <x:c r="B23" t="str">
        <x:v>Medium</x:v>
      </x:c>
      <x:c r="C23" t="n">
        <x:v>974</x:v>
      </x:c>
      <x:c r="D23" t="str">
        <x:v>Subarray Sums Divisible by K</x:v>
      </x:c>
      <x:c r="E23" t="str">
        <x:v>https://leetcode.com/problems/subarray-sums-divisible-by-k/</x:v>
      </x:c>
      <x:c r="F23" t="str">
        <x:v>Not Started</x:v>
      </x:c>
      <x:c r="G23" s="36" t="n">
        <x:v>46222</x:v>
      </x:c>
      <x:c r="H23"/>
    </x:row>
    <x:row r="24">
      <x:c r="A24" t="n">
        <x:v>20</x:v>
      </x:c>
      <x:c r="B24" t="str">
        <x:v>Medium</x:v>
      </x:c>
      <x:c r="C24" t="n">
        <x:v>523</x:v>
      </x:c>
      <x:c r="D24" t="str">
        <x:v>Continuous Subarray Sum</x:v>
      </x:c>
      <x:c r="E24" t="str">
        <x:v>https://leetcode.com/problems/continuous-subarray-sum/</x:v>
      </x:c>
      <x:c r="F24" t="str">
        <x:v>Not Started</x:v>
      </x:c>
      <x:c r="G24" s="36" t="n">
        <x:v>46223</x:v>
      </x:c>
      <x:c r="H24"/>
    </x:row>
    <x:row r="25">
      <x:c r="A25" t="n">
        <x:v>21</x:v>
      </x:c>
      <x:c r="B25" t="str">
        <x:v>Medium</x:v>
      </x:c>
      <x:c r="C25" t="n">
        <x:v>454</x:v>
      </x:c>
      <x:c r="D25" t="str">
        <x:v>4Sum II</x:v>
      </x:c>
      <x:c r="E25" t="str">
        <x:v>https://leetcode.com/problems/4sum-ii/</x:v>
      </x:c>
      <x:c r="F25" t="str">
        <x:v>Not Started</x:v>
      </x:c>
      <x:c r="G25" s="36" t="n">
        <x:v>46224</x:v>
      </x:c>
      <x:c r="H25"/>
    </x:row>
    <x:row r="26">
      <x:c r="A26" t="n">
        <x:v>22</x:v>
      </x:c>
      <x:c r="B26" t="str">
        <x:v>Hard</x:v>
      </x:c>
      <x:c r="C26" t="n">
        <x:v>41</x:v>
      </x:c>
      <x:c r="D26" t="str">
        <x:v>First Missing Positive</x:v>
      </x:c>
      <x:c r="E26" t="str">
        <x:v>https://leetcode.com/problems/first-missing-positive/</x:v>
      </x:c>
      <x:c r="F26" t="str">
        <x:v>Not Started</x:v>
      </x:c>
      <x:c r="G26" s="36" t="n">
        <x:v>46225</x:v>
      </x:c>
      <x:c r="H26"/>
    </x:row>
    <x:row r="27">
      <x:c r="A27" t="n">
        <x:v>23</x:v>
      </x:c>
      <x:c r="B27" t="str">
        <x:v>Medium</x:v>
      </x:c>
      <x:c r="C27" t="n">
        <x:v>73</x:v>
      </x:c>
      <x:c r="D27" t="str">
        <x:v>Set Matrix Zeroes</x:v>
      </x:c>
      <x:c r="E27" t="str">
        <x:v>https://leetcode.com/problems/set-matrix-zeroes/</x:v>
      </x:c>
      <x:c r="F27" t="str">
        <x:v>Done</x:v>
      </x:c>
      <x:c r="G27" s="36"/>
      <x:c r="H27"/>
    </x:row>
    <x:row r="28">
      <x:c r="A28" t="n">
        <x:v>24</x:v>
      </x:c>
      <x:c r="B28" t="str">
        <x:v>Medium</x:v>
      </x:c>
      <x:c r="C28" t="n">
        <x:v>48</x:v>
      </x:c>
      <x:c r="D28" t="str">
        <x:v>Rotate Image</x:v>
      </x:c>
      <x:c r="E28" t="str">
        <x:v>https://leetcode.com/problems/rotate-image/</x:v>
      </x:c>
      <x:c r="F28" t="str">
        <x:v>Done</x:v>
      </x:c>
      <x:c r="G28" s="36"/>
      <x:c r="H28"/>
    </x:row>
    <x:row r="29">
      <x:c r="A29" t="n">
        <x:v>25</x:v>
      </x:c>
      <x:c r="B29" t="str">
        <x:v>Medium</x:v>
      </x:c>
      <x:c r="C29" t="n">
        <x:v>54</x:v>
      </x:c>
      <x:c r="D29" t="str">
        <x:v>Spiral Matrix</x:v>
      </x:c>
      <x:c r="E29" t="str">
        <x:v>https://leetcode.com/problems/spiral-matrix/</x:v>
      </x:c>
      <x:c r="F29" t="str">
        <x:v>Done</x:v>
      </x:c>
      <x:c r="G29" s="36"/>
      <x:c r="H29"/>
    </x:row>
    <x:row r="30">
      <x:c r="A30" t="n">
        <x:v>26</x:v>
      </x:c>
      <x:c r="B30" t="str">
        <x:v>Medium</x:v>
      </x:c>
      <x:c r="C30" t="n">
        <x:v>59</x:v>
      </x:c>
      <x:c r="D30" t="str">
        <x:v>Spiral Matrix II</x:v>
      </x:c>
      <x:c r="E30" t="str">
        <x:v>https://leetcode.com/problems/spiral-matrix-ii/</x:v>
      </x:c>
      <x:c r="F30" t="str">
        <x:v>Not Started</x:v>
      </x:c>
      <x:c r="G30" s="36" t="n">
        <x:v>46226</x:v>
      </x:c>
      <x:c r="H30"/>
    </x:row>
    <x:row r="31">
      <x:c r="A31" t="n">
        <x:v>27</x:v>
      </x:c>
      <x:c r="B31" t="str">
        <x:v>Easy</x:v>
      </x:c>
      <x:c r="C31" t="n">
        <x:v>566</x:v>
      </x:c>
      <x:c r="D31" t="str">
        <x:v>Reshape the Matrix</x:v>
      </x:c>
      <x:c r="E31" t="str">
        <x:v>https://leetcode.com/problems/reshape-the-matrix/</x:v>
      </x:c>
      <x:c r="F31" t="str">
        <x:v>Not Started</x:v>
      </x:c>
      <x:c r="G31" s="36" t="n">
        <x:v>46227</x:v>
      </x:c>
      <x:c r="H31"/>
    </x:row>
    <x:row r="32">
      <x:c r="A32" t="n">
        <x:v>28</x:v>
      </x:c>
      <x:c r="B32" t="str">
        <x:v>Easy</x:v>
      </x:c>
      <x:c r="C32" t="n">
        <x:v>867</x:v>
      </x:c>
      <x:c r="D32" t="str">
        <x:v>Transpose Matrix</x:v>
      </x:c>
      <x:c r="E32" t="str">
        <x:v>https://leetcode.com/problems/transpose-matrix/</x:v>
      </x:c>
      <x:c r="F32" t="str">
        <x:v>Not Started</x:v>
      </x:c>
      <x:c r="G32" s="36" t="n">
        <x:v>46228</x:v>
      </x:c>
      <x:c r="H32"/>
    </x:row>
    <x:row r="33">
      <x:c r="A33" t="n">
        <x:v>29</x:v>
      </x:c>
      <x:c r="B33" t="str">
        <x:v>Easy</x:v>
      </x:c>
      <x:c r="C33" t="n">
        <x:v>832</x:v>
      </x:c>
      <x:c r="D33" t="str">
        <x:v>Flipping an Image</x:v>
      </x:c>
      <x:c r="E33" t="str">
        <x:v>https://leetcode.com/problems/flipping-an-image/</x:v>
      </x:c>
      <x:c r="F33" t="str">
        <x:v>Not Started</x:v>
      </x:c>
      <x:c r="G33" s="36" t="n">
        <x:v>46229</x:v>
      </x:c>
      <x:c r="H33"/>
    </x:row>
    <x:row r="34">
      <x:c r="A34" t="n">
        <x:v>30</x:v>
      </x:c>
      <x:c r="B34" t="str">
        <x:v>Medium</x:v>
      </x:c>
      <x:c r="C34" t="n">
        <x:v>289</x:v>
      </x:c>
      <x:c r="D34" t="str">
        <x:v>Game of Life</x:v>
      </x:c>
      <x:c r="E34" t="str">
        <x:v>https://leetcode.com/problems/game-of-life/</x:v>
      </x:c>
      <x:c r="F34" t="str">
        <x:v>Not Started</x:v>
      </x:c>
      <x:c r="G34" s="36" t="n">
        <x:v>46230</x:v>
      </x:c>
      <x:c r="H34"/>
    </x:row>
    <x:row r="35">
      <x:c r="A35" t="n">
        <x:v>31</x:v>
      </x:c>
      <x:c r="B35" t="str">
        <x:v>Easy</x:v>
      </x:c>
      <x:c r="C35" t="n">
        <x:v>118</x:v>
      </x:c>
      <x:c r="D35" t="str">
        <x:v>Pascal's Triangle</x:v>
      </x:c>
      <x:c r="E35" t="str">
        <x:v>https://leetcode.com/problems/pascals-triangle/</x:v>
      </x:c>
      <x:c r="F35" t="str">
        <x:v>Not Started</x:v>
      </x:c>
      <x:c r="G35" s="36" t="n">
        <x:v>46231</x:v>
      </x:c>
      <x:c r="H35"/>
    </x:row>
    <x:row r="36">
      <x:c r="A36" t="n">
        <x:v>32</x:v>
      </x:c>
      <x:c r="B36" t="str">
        <x:v>Easy</x:v>
      </x:c>
      <x:c r="C36" t="n">
        <x:v>119</x:v>
      </x:c>
      <x:c r="D36" t="str">
        <x:v>Pascal's Triangle II</x:v>
      </x:c>
      <x:c r="E36" t="str">
        <x:v>https://leetcode.com/problems/pascals-triangle-ii/</x:v>
      </x:c>
      <x:c r="F36" t="str">
        <x:v>Not Started</x:v>
      </x:c>
      <x:c r="G36" s="36" t="n">
        <x:v>46232</x:v>
      </x:c>
      <x:c r="H36"/>
    </x:row>
    <x:row r="37">
      <x:c r="A37" t="n">
        <x:v>33</x:v>
      </x:c>
      <x:c r="B37" t="str">
        <x:v>Easy</x:v>
      </x:c>
      <x:c r="C37" t="n">
        <x:v>448</x:v>
      </x:c>
      <x:c r="D37" t="str">
        <x:v>Find All Numbers Disappeared in an Array</x:v>
      </x:c>
      <x:c r="E37" t="str">
        <x:v>https://leetcode.com/problems/find-all-numbers-disappeared-in-an-array/</x:v>
      </x:c>
      <x:c r="F37" t="str">
        <x:v>Not Started</x:v>
      </x:c>
      <x:c r="G37" s="36" t="n">
        <x:v>46233</x:v>
      </x:c>
      <x:c r="H37"/>
    </x:row>
    <x:row r="38">
      <x:c r="A38" t="n">
        <x:v>34</x:v>
      </x:c>
      <x:c r="B38" t="str">
        <x:v>Medium</x:v>
      </x:c>
      <x:c r="C38" t="n">
        <x:v>442</x:v>
      </x:c>
      <x:c r="D38" t="str">
        <x:v>Find All Duplicates in an Array</x:v>
      </x:c>
      <x:c r="E38" t="str">
        <x:v>https://leetcode.com/problems/find-all-duplicates-in-an-array/</x:v>
      </x:c>
      <x:c r="F38" t="str">
        <x:v>Not Started</x:v>
      </x:c>
      <x:c r="G38" s="36" t="n">
        <x:v>46234</x:v>
      </x:c>
      <x:c r="H38"/>
    </x:row>
    <x:row r="39">
      <x:c r="A39" t="n">
        <x:v>35</x:v>
      </x:c>
      <x:c r="B39" t="str">
        <x:v>Easy</x:v>
      </x:c>
      <x:c r="C39" t="n">
        <x:v>645</x:v>
      </x:c>
      <x:c r="D39" t="str">
        <x:v>Set Mismatch</x:v>
      </x:c>
      <x:c r="E39" t="str">
        <x:v>https://leetcode.com/problems/set-mismatch/</x:v>
      </x:c>
      <x:c r="F39" t="str">
        <x:v>Not Started</x:v>
      </x:c>
      <x:c r="G39" s="36" t="n">
        <x:v>46235</x:v>
      </x:c>
      <x:c r="H39"/>
    </x:row>
    <x:row r="40">
      <x:c r="A40" t="n">
        <x:v>36</x:v>
      </x:c>
      <x:c r="B40" t="str">
        <x:v>Medium</x:v>
      </x:c>
      <x:c r="C40" t="n">
        <x:v>287</x:v>
      </x:c>
      <x:c r="D40" t="str">
        <x:v>Find the Duplicate Number</x:v>
      </x:c>
      <x:c r="E40" t="str">
        <x:v>https://leetcode.com/problems/find-the-duplicate-number/</x:v>
      </x:c>
      <x:c r="F40" t="str">
        <x:v>Not Started</x:v>
      </x:c>
      <x:c r="G40" s="36" t="n">
        <x:v>46236</x:v>
      </x:c>
      <x:c r="H40"/>
    </x:row>
    <x:row r="41">
      <x:c r="A41" t="n">
        <x:v>37</x:v>
      </x:c>
      <x:c r="B41" t="str">
        <x:v>Easy</x:v>
      </x:c>
      <x:c r="C41" t="n">
        <x:v>268</x:v>
      </x:c>
      <x:c r="D41" t="str">
        <x:v>Missing Number</x:v>
      </x:c>
      <x:c r="E41" t="str">
        <x:v>https://leetcode.com/problems/missing-number/</x:v>
      </x:c>
      <x:c r="F41" t="str">
        <x:v>Done</x:v>
      </x:c>
      <x:c r="G41" s="36"/>
      <x:c r="H41"/>
    </x:row>
    <x:row r="42">
      <x:c r="A42" t="n">
        <x:v>38</x:v>
      </x:c>
      <x:c r="B42" t="str">
        <x:v>Easy</x:v>
      </x:c>
      <x:c r="C42" t="n">
        <x:v>136</x:v>
      </x:c>
      <x:c r="D42" t="str">
        <x:v>Single Number</x:v>
      </x:c>
      <x:c r="E42" t="str">
        <x:v>https://leetcode.com/problems/single-number/</x:v>
      </x:c>
      <x:c r="F42" t="str">
        <x:v>Done</x:v>
      </x:c>
      <x:c r="G42" s="36"/>
      <x:c r="H42"/>
    </x:row>
    <x:row r="43">
      <x:c r="A43" t="n">
        <x:v>39</x:v>
      </x:c>
      <x:c r="B43" t="str">
        <x:v>Medium</x:v>
      </x:c>
      <x:c r="C43" t="n">
        <x:v>137</x:v>
      </x:c>
      <x:c r="D43" t="str">
        <x:v>Single Number II</x:v>
      </x:c>
      <x:c r="E43" t="str">
        <x:v>https://leetcode.com/problems/single-number-ii/</x:v>
      </x:c>
      <x:c r="F43" t="str">
        <x:v>Not Started</x:v>
      </x:c>
      <x:c r="G43" s="36" t="n">
        <x:v>46237</x:v>
      </x:c>
      <x:c r="H43"/>
    </x:row>
    <x:row r="44">
      <x:c r="A44" t="n">
        <x:v>40</x:v>
      </x:c>
      <x:c r="B44" t="str">
        <x:v>Medium</x:v>
      </x:c>
      <x:c r="C44" t="n">
        <x:v>260</x:v>
      </x:c>
      <x:c r="D44" t="str">
        <x:v>Single Number III</x:v>
      </x:c>
      <x:c r="E44" t="str">
        <x:v>https://leetcode.com/problems/single-number-iii/</x:v>
      </x:c>
      <x:c r="F44" t="str">
        <x:v>Not Started</x:v>
      </x:c>
      <x:c r="G44" s="36" t="n">
        <x:v>46238</x:v>
      </x:c>
      <x:c r="H44"/>
    </x:row>
    <x:row r="45">
      <x:c r="A45" t="n">
        <x:v>41</x:v>
      </x:c>
      <x:c r="B45" t="str">
        <x:v>Easy</x:v>
      </x:c>
      <x:c r="C45" t="n">
        <x:v>169</x:v>
      </x:c>
      <x:c r="D45" t="str">
        <x:v>Majority Element</x:v>
      </x:c>
      <x:c r="E45" t="str">
        <x:v>https://leetcode.com/problems/majority-element/</x:v>
      </x:c>
      <x:c r="F45" t="str">
        <x:v>Done</x:v>
      </x:c>
      <x:c r="G45" s="36"/>
      <x:c r="H45"/>
    </x:row>
    <x:row r="46">
      <x:c r="A46" t="n">
        <x:v>42</x:v>
      </x:c>
      <x:c r="B46" t="str">
        <x:v>Medium</x:v>
      </x:c>
      <x:c r="C46" t="n">
        <x:v>229</x:v>
      </x:c>
      <x:c r="D46" t="str">
        <x:v>Majority Element II</x:v>
      </x:c>
      <x:c r="E46" t="str">
        <x:v>https://leetcode.com/problems/majority-element-ii/</x:v>
      </x:c>
      <x:c r="F46" t="str">
        <x:v>Not Started</x:v>
      </x:c>
      <x:c r="G46" s="36" t="n">
        <x:v>46239</x:v>
      </x:c>
      <x:c r="H46"/>
    </x:row>
    <x:row r="47">
      <x:c r="A47" t="n">
        <x:v>43</x:v>
      </x:c>
      <x:c r="B47" t="str">
        <x:v>Easy</x:v>
      </x:c>
      <x:c r="C47" t="n">
        <x:v>349</x:v>
      </x:c>
      <x:c r="D47" t="str">
        <x:v>Intersection of Two Arrays</x:v>
      </x:c>
      <x:c r="E47" t="str">
        <x:v>https://leetcode.com/problems/intersection-of-two-arrays/</x:v>
      </x:c>
      <x:c r="F47" t="str">
        <x:v>Done</x:v>
      </x:c>
      <x:c r="G47" s="36"/>
      <x:c r="H47"/>
    </x:row>
    <x:row r="48">
      <x:c r="A48" t="n">
        <x:v>44</x:v>
      </x:c>
      <x:c r="B48" t="str">
        <x:v>Easy</x:v>
      </x:c>
      <x:c r="C48" t="n">
        <x:v>350</x:v>
      </x:c>
      <x:c r="D48" t="str">
        <x:v>Intersection of Two Arrays II</x:v>
      </x:c>
      <x:c r="E48" t="str">
        <x:v>https://leetcode.com/problems/intersection-of-two-arrays-ii/</x:v>
      </x:c>
      <x:c r="F48" t="str">
        <x:v>Not Started</x:v>
      </x:c>
      <x:c r="G48" s="36" t="n">
        <x:v>46240</x:v>
      </x:c>
      <x:c r="H48"/>
    </x:row>
    <x:row r="49">
      <x:c r="A49" t="n">
        <x:v>45</x:v>
      </x:c>
      <x:c r="B49" t="str">
        <x:v>Easy</x:v>
      </x:c>
      <x:c r="C49" t="n">
        <x:v>66</x:v>
      </x:c>
      <x:c r="D49" t="str">
        <x:v>Plus One</x:v>
      </x:c>
      <x:c r="E49" t="str">
        <x:v>https://leetcode.com/problems/plus-one/</x:v>
      </x:c>
      <x:c r="F49" t="str">
        <x:v>Not Started</x:v>
      </x:c>
      <x:c r="G49" s="36" t="n">
        <x:v>46241</x:v>
      </x:c>
      <x:c r="H49"/>
    </x:row>
    <x:row r="50">
      <x:c r="A50" t="n">
        <x:v>46</x:v>
      </x:c>
      <x:c r="B50" t="str">
        <x:v>Easy</x:v>
      </x:c>
      <x:c r="C50" t="n">
        <x:v>27</x:v>
      </x:c>
      <x:c r="D50" t="str">
        <x:v>Remove Element</x:v>
      </x:c>
      <x:c r="E50" t="str">
        <x:v>https://leetcode.com/problems/remove-element/</x:v>
      </x:c>
      <x:c r="F50" t="str">
        <x:v>Not Started</x:v>
      </x:c>
      <x:c r="G50" s="36" t="n">
        <x:v>46242</x:v>
      </x:c>
      <x:c r="H50"/>
    </x:row>
    <x:row r="51">
      <x:c r="A51" t="n">
        <x:v>47</x:v>
      </x:c>
      <x:c r="B51" t="str">
        <x:v>Easy</x:v>
      </x:c>
      <x:c r="C51" t="n">
        <x:v>26</x:v>
      </x:c>
      <x:c r="D51" t="str">
        <x:v>Remove Duplicates from Sorted Array</x:v>
      </x:c>
      <x:c r="E51" t="str">
        <x:v>https://leetcode.com/problems/remove-duplicates-from-sorted-array/</x:v>
      </x:c>
      <x:c r="F51" t="str">
        <x:v>Done</x:v>
      </x:c>
      <x:c r="G51" s="36"/>
      <x:c r="H51"/>
    </x:row>
    <x:row r="52">
      <x:c r="A52" t="n">
        <x:v>48</x:v>
      </x:c>
      <x:c r="B52" t="str">
        <x:v>Medium</x:v>
      </x:c>
      <x:c r="C52" t="n">
        <x:v>80</x:v>
      </x:c>
      <x:c r="D52" t="str">
        <x:v>Remove Duplicates from Sorted Array II</x:v>
      </x:c>
      <x:c r="E52" t="str">
        <x:v>https://leetcode.com/problems/remove-duplicates-from-sorted-array-ii/</x:v>
      </x:c>
      <x:c r="F52" t="str">
        <x:v>Not Started</x:v>
      </x:c>
      <x:c r="G52" s="36" t="n">
        <x:v>46243</x:v>
      </x:c>
      <x:c r="H52"/>
    </x:row>
    <x:row r="53">
      <x:c r="A53" t="n">
        <x:v>49</x:v>
      </x:c>
      <x:c r="B53" t="str">
        <x:v>Easy</x:v>
      </x:c>
      <x:c r="C53" t="n">
        <x:v>88</x:v>
      </x:c>
      <x:c r="D53" t="str">
        <x:v>Merge Sorted Array</x:v>
      </x:c>
      <x:c r="E53" t="str">
        <x:v>https://leetcode.com/problems/merge-sorted-array/</x:v>
      </x:c>
      <x:c r="F53" t="str">
        <x:v>Done</x:v>
      </x:c>
      <x:c r="G53" s="36"/>
      <x:c r="H53"/>
    </x:row>
    <x:row r="54">
      <x:c r="A54" t="n">
        <x:v>50</x:v>
      </x:c>
      <x:c r="B54" t="str">
        <x:v>Medium</x:v>
      </x:c>
      <x:c r="C54" t="n">
        <x:v>189</x:v>
      </x:c>
      <x:c r="D54" t="str">
        <x:v>Rotate Array</x:v>
      </x:c>
      <x:c r="E54" t="str">
        <x:v>https://leetcode.com/problems/rotate-array/</x:v>
      </x:c>
      <x:c r="F54" t="str">
        <x:v>Not Started</x:v>
      </x:c>
      <x:c r="G54" s="36" t="n">
        <x:v>46244</x:v>
      </x:c>
      <x:c r="H54"/>
    </x:row>
    <x:row r="55">
      <x:c r="A55" t="n">
        <x:v>51</x:v>
      </x:c>
      <x:c r="B55" t="str">
        <x:v>Easy</x:v>
      </x:c>
      <x:c r="C55" t="n">
        <x:v>283</x:v>
      </x:c>
      <x:c r="D55" t="str">
        <x:v>Move Zeroes</x:v>
      </x:c>
      <x:c r="E55" t="str">
        <x:v>https://leetcode.com/problems/move-zeroes/</x:v>
      </x:c>
      <x:c r="F55" t="str">
        <x:v>Done</x:v>
      </x:c>
      <x:c r="G55" s="36"/>
      <x:c r="H55"/>
    </x:row>
    <x:row r="56">
      <x:c r="A56" t="n">
        <x:v>52</x:v>
      </x:c>
      <x:c r="B56" t="str">
        <x:v>Medium</x:v>
      </x:c>
      <x:c r="C56" t="n">
        <x:v>75</x:v>
      </x:c>
      <x:c r="D56" t="str">
        <x:v>Sort Colors</x:v>
      </x:c>
      <x:c r="E56" t="str">
        <x:v>https://leetcode.com/problems/sort-colors/</x:v>
      </x:c>
      <x:c r="F56" t="str">
        <x:v>Done</x:v>
      </x:c>
      <x:c r="G56" s="36"/>
      <x:c r="H56"/>
    </x:row>
    <x:row r="57">
      <x:c r="A57" t="n">
        <x:v>53</x:v>
      </x:c>
      <x:c r="B57" t="str">
        <x:v>Easy</x:v>
      </x:c>
      <x:c r="C57" t="n">
        <x:v>414</x:v>
      </x:c>
      <x:c r="D57" t="str">
        <x:v>Third Maximum Number</x:v>
      </x:c>
      <x:c r="E57" t="str">
        <x:v>https://leetcode.com/problems/third-maximum-number/</x:v>
      </x:c>
      <x:c r="F57" t="str">
        <x:v>Not Started</x:v>
      </x:c>
      <x:c r="G57" s="36" t="n">
        <x:v>46245</x:v>
      </x:c>
      <x:c r="H57"/>
    </x:row>
    <x:row r="58">
      <x:c r="A58" t="n">
        <x:v>54</x:v>
      </x:c>
      <x:c r="B58" t="str">
        <x:v>Easy</x:v>
      </x:c>
      <x:c r="C58" t="n">
        <x:v>485</x:v>
      </x:c>
      <x:c r="D58" t="str">
        <x:v>Max Consecutive Ones</x:v>
      </x:c>
      <x:c r="E58" t="str">
        <x:v>https://leetcode.com/problems/max-consecutive-ones/</x:v>
      </x:c>
      <x:c r="F58" t="str">
        <x:v>Not Started</x:v>
      </x:c>
      <x:c r="G58" s="36" t="n">
        <x:v>46246</x:v>
      </x:c>
      <x:c r="H58"/>
    </x:row>
    <x:row r="59">
      <x:c r="A59" t="n">
        <x:v>55</x:v>
      </x:c>
      <x:c r="B59" t="str">
        <x:v>Easy</x:v>
      </x:c>
      <x:c r="C59" t="n">
        <x:v>977</x:v>
      </x:c>
      <x:c r="D59" t="str">
        <x:v>Squares of a Sorted Array</x:v>
      </x:c>
      <x:c r="E59" t="str">
        <x:v>https://leetcode.com/problems/squares-of-a-sorted-array/</x:v>
      </x:c>
      <x:c r="F59" t="str">
        <x:v>Not Started</x:v>
      </x:c>
      <x:c r="G59" s="36" t="n">
        <x:v>46247</x:v>
      </x:c>
      <x:c r="H59"/>
    </x:row>
    <x:row r="60">
      <x:c r="A60" t="n">
        <x:v>56</x:v>
      </x:c>
      <x:c r="B60" t="str">
        <x:v>Easy</x:v>
      </x:c>
      <x:c r="C60" t="n">
        <x:v>1287</x:v>
      </x:c>
      <x:c r="D60" t="str">
        <x:v>Element Appearing More Than 25% In Sorted Array</x:v>
      </x:c>
      <x:c r="E60" t="str">
        <x:v>https://leetcode.com/problems/element-appearing-more-than-25-in-sorted-array/</x:v>
      </x:c>
      <x:c r="F60" t="str">
        <x:v>Not Started</x:v>
      </x:c>
      <x:c r="G60" s="36" t="n">
        <x:v>46248</x:v>
      </x:c>
      <x:c r="H60"/>
    </x:row>
    <x:row r="61">
      <x:c r="A61" t="n">
        <x:v>57</x:v>
      </x:c>
      <x:c r="B61" t="str">
        <x:v>Easy</x:v>
      </x:c>
      <x:c r="C61" t="n">
        <x:v>905</x:v>
      </x:c>
      <x:c r="D61" t="str">
        <x:v>Sort Array By Parity</x:v>
      </x:c>
      <x:c r="E61" t="str">
        <x:v>https://leetcode.com/problems/sort-array-by-parity/</x:v>
      </x:c>
      <x:c r="F61" t="str">
        <x:v>Not Started</x:v>
      </x:c>
      <x:c r="G61" s="36" t="n">
        <x:v>46249</x:v>
      </x:c>
      <x:c r="H61"/>
    </x:row>
    <x:row r="62">
      <x:c r="A62" t="n">
        <x:v>58</x:v>
      </x:c>
      <x:c r="B62" t="str">
        <x:v>Easy</x:v>
      </x:c>
      <x:c r="C62" t="n">
        <x:v>922</x:v>
      </x:c>
      <x:c r="D62" t="str">
        <x:v>Sort Array By Parity II</x:v>
      </x:c>
      <x:c r="E62" t="str">
        <x:v>https://leetcode.com/problems/sort-array-by-parity-ii/</x:v>
      </x:c>
      <x:c r="F62" t="str">
        <x:v>Not Started</x:v>
      </x:c>
      <x:c r="G62" s="36" t="n">
        <x:v>46250</x:v>
      </x:c>
      <x:c r="H62"/>
    </x:row>
    <x:row r="63">
      <x:c r="A63" t="n">
        <x:v>59</x:v>
      </x:c>
      <x:c r="B63" t="str">
        <x:v>Easy</x:v>
      </x:c>
      <x:c r="C63" t="n">
        <x:v>561</x:v>
      </x:c>
      <x:c r="D63" t="str">
        <x:v>Array Partition</x:v>
      </x:c>
      <x:c r="E63" t="str">
        <x:v>https://leetcode.com/problems/array-partition/</x:v>
      </x:c>
      <x:c r="F63" t="str">
        <x:v>Not Started</x:v>
      </x:c>
      <x:c r="G63" s="36" t="n">
        <x:v>46251</x:v>
      </x:c>
      <x:c r="H63"/>
    </x:row>
    <x:row r="64">
      <x:c r="A64" t="n">
        <x:v>60</x:v>
      </x:c>
      <x:c r="B64" t="str">
        <x:v>Medium</x:v>
      </x:c>
      <x:c r="C64" t="n">
        <x:v>665</x:v>
      </x:c>
      <x:c r="D64" t="str">
        <x:v>Non-decreasing Array</x:v>
      </x:c>
      <x:c r="E64" t="str">
        <x:v>https://leetcode.com/problems/non-decreasing-array/</x:v>
      </x:c>
      <x:c r="F64" t="str">
        <x:v>Not Started</x:v>
      </x:c>
      <x:c r="G64" s="36" t="n">
        <x:v>46252</x:v>
      </x:c>
      <x:c r="H64"/>
    </x:row>
    <x:row r="65">
      <x:c r="A65" t="n">
        <x:v>61</x:v>
      </x:c>
      <x:c r="B65" t="str">
        <x:v>Easy</x:v>
      </x:c>
      <x:c r="C65" t="n">
        <x:v>896</x:v>
      </x:c>
      <x:c r="D65" t="str">
        <x:v>Monotonic Array</x:v>
      </x:c>
      <x:c r="E65" t="str">
        <x:v>https://leetcode.com/problems/monotonic-array/</x:v>
      </x:c>
      <x:c r="F65" t="str">
        <x:v>Not Started</x:v>
      </x:c>
      <x:c r="G65" s="36" t="n">
        <x:v>46253</x:v>
      </x:c>
      <x:c r="H65"/>
    </x:row>
    <x:row r="66">
      <x:c r="A66" t="n">
        <x:v>62</x:v>
      </x:c>
      <x:c r="B66" t="str">
        <x:v>Medium</x:v>
      </x:c>
      <x:c r="C66" t="n">
        <x:v>849</x:v>
      </x:c>
      <x:c r="D66" t="str">
        <x:v>Maximize Distance to Closest Person</x:v>
      </x:c>
      <x:c r="E66" t="str">
        <x:v>https://leetcode.com/problems/maximize-distance-to-closest-person/</x:v>
      </x:c>
      <x:c r="F66" t="str">
        <x:v>Not Started</x:v>
      </x:c>
      <x:c r="G66" s="36" t="n">
        <x:v>46254</x:v>
      </x:c>
      <x:c r="H66"/>
    </x:row>
    <x:row r="67">
      <x:c r="A67" t="n">
        <x:v>63</x:v>
      </x:c>
      <x:c r="B67" t="str">
        <x:v>Easy</x:v>
      </x:c>
      <x:c r="C67" t="n">
        <x:v>1346</x:v>
      </x:c>
      <x:c r="D67" t="str">
        <x:v>Check If N and Its Double Exist</x:v>
      </x:c>
      <x:c r="E67" t="str">
        <x:v>https://leetcode.com/problems/check-if-n-and-its-double-exist/</x:v>
      </x:c>
      <x:c r="F67" t="str">
        <x:v>Not Started</x:v>
      </x:c>
      <x:c r="G67" s="36" t="n">
        <x:v>46255</x:v>
      </x:c>
      <x:c r="H67"/>
    </x:row>
    <x:row r="68">
      <x:c r="A68" t="n">
        <x:v>64</x:v>
      </x:c>
      <x:c r="B68" t="str">
        <x:v>Easy</x:v>
      </x:c>
      <x:c r="C68" t="n">
        <x:v>941</x:v>
      </x:c>
      <x:c r="D68" t="str">
        <x:v>Valid Mountain Array</x:v>
      </x:c>
      <x:c r="E68" t="str">
        <x:v>https://leetcode.com/problems/valid-mountain-array/</x:v>
      </x:c>
      <x:c r="F68" t="str">
        <x:v>Not Started</x:v>
      </x:c>
      <x:c r="G68" s="36" t="n">
        <x:v>46256</x:v>
      </x:c>
      <x:c r="H68"/>
    </x:row>
    <x:row r="69">
      <x:c r="A69" t="n">
        <x:v>65</x:v>
      </x:c>
      <x:c r="B69" t="str">
        <x:v>Easy</x:v>
      </x:c>
      <x:c r="C69" t="n">
        <x:v>1299</x:v>
      </x:c>
      <x:c r="D69" t="str">
        <x:v>Replace Elements with Greatest Element on Right Side</x:v>
      </x:c>
      <x:c r="E69" t="str">
        <x:v>https://leetcode.com/problems/replace-elements-with-greatest-element-on-right-side/</x:v>
      </x:c>
      <x:c r="F69" t="str">
        <x:v>Not Started</x:v>
      </x:c>
      <x:c r="G69" s="36" t="n">
        <x:v>46257</x:v>
      </x:c>
      <x:c r="H69"/>
    </x:row>
    <x:row r="70">
      <x:c r="A70"/>
      <x:c r="B70"/>
      <x:c r="C70"/>
      <x:c r="D70"/>
      <x:c r="E70"/>
      <x:c r="F70"/>
      <x:c r="G70"/>
      <x:c r="H70"/>
    </x:row>
    <x:row r="71">
      <x:c r="A71"/>
      <x:c r="B71"/>
      <x:c r="C71"/>
      <x:c r="D71"/>
      <x:c r="E71"/>
      <x:c r="F71"/>
      <x:c r="G71"/>
      <x:c r="H71"/>
    </x:row>
    <x:row r="72">
      <x:c r="A72" s="220" t="str">
        <x:v>Strings  —  50 problems</x:v>
      </x:c>
      <x:c r="B72" s="220"/>
      <x:c r="C72" s="220"/>
      <x:c r="D72" s="220"/>
      <x:c r="E72" s="220"/>
      <x:c r="F72" s="220"/>
      <x:c r="G72" s="220"/>
      <x:c r="H72" s="220"/>
    </x:row>
    <x:row r="73">
      <x:c r="A73" s="224" t="str">
        <x:v>Seq</x:v>
      </x:c>
      <x:c r="B73" s="224" t="str">
        <x:v>Difficulty</x:v>
      </x:c>
      <x:c r="C73" s="224" t="str">
        <x:v>LC ID</x:v>
      </x:c>
      <x:c r="D73" s="224" t="str">
        <x:v>Problem Title</x:v>
      </x:c>
      <x:c r="E73" s="224" t="str">
        <x:v>Problem URL</x:v>
      </x:c>
      <x:c r="F73" s="224" t="str">
        <x:v>Status</x:v>
      </x:c>
      <x:c r="G73" s="224" t="str">
        <x:v>Planned Date</x:v>
      </x:c>
      <x:c r="H73" s="224" t="str">
        <x:v>Notes</x:v>
      </x:c>
    </x:row>
    <x:row r="74">
      <x:c r="A74" t="n">
        <x:v>66</x:v>
      </x:c>
      <x:c r="B74" t="str">
        <x:v>Easy</x:v>
      </x:c>
      <x:c r="C74" t="n">
        <x:v>344</x:v>
      </x:c>
      <x:c r="D74" t="str">
        <x:v>Reverse String</x:v>
      </x:c>
      <x:c r="E74" t="str">
        <x:v>https://leetcode.com/problems/reverse-string/</x:v>
      </x:c>
      <x:c r="F74" t="str">
        <x:v>Done</x:v>
      </x:c>
      <x:c r="G74" s="36"/>
      <x:c r="H74"/>
    </x:row>
    <x:row r="75">
      <x:c r="A75" t="n">
        <x:v>67</x:v>
      </x:c>
      <x:c r="B75" t="str">
        <x:v>Easy</x:v>
      </x:c>
      <x:c r="C75" t="n">
        <x:v>125</x:v>
      </x:c>
      <x:c r="D75" t="str">
        <x:v>Valid Palindrome</x:v>
      </x:c>
      <x:c r="E75" t="str">
        <x:v>https://leetcode.com/problems/valid-palindrome/</x:v>
      </x:c>
      <x:c r="F75" t="str">
        <x:v>Not Started</x:v>
      </x:c>
      <x:c r="G75" s="36" t="n">
        <x:v>46258</x:v>
      </x:c>
      <x:c r="H75"/>
    </x:row>
    <x:row r="76">
      <x:c r="A76" t="n">
        <x:v>68</x:v>
      </x:c>
      <x:c r="B76" t="str">
        <x:v>Easy</x:v>
      </x:c>
      <x:c r="C76" t="n">
        <x:v>14</x:v>
      </x:c>
      <x:c r="D76" t="str">
        <x:v>Longest Common Prefix</x:v>
      </x:c>
      <x:c r="E76" t="str">
        <x:v>https://leetcode.com/problems/longest-common-prefix/</x:v>
      </x:c>
      <x:c r="F76" t="str">
        <x:v>Not Started</x:v>
      </x:c>
      <x:c r="G76" s="36" t="n">
        <x:v>46259</x:v>
      </x:c>
      <x:c r="H76"/>
    </x:row>
    <x:row r="77">
      <x:c r="A77" t="n">
        <x:v>69</x:v>
      </x:c>
      <x:c r="B77" t="str">
        <x:v>Easy</x:v>
      </x:c>
      <x:c r="C77" t="n">
        <x:v>13</x:v>
      </x:c>
      <x:c r="D77" t="str">
        <x:v>Roman to Integer</x:v>
      </x:c>
      <x:c r="E77" t="str">
        <x:v>https://leetcode.com/problems/roman-to-integer/</x:v>
      </x:c>
      <x:c r="F77" t="str">
        <x:v>Done</x:v>
      </x:c>
      <x:c r="G77" s="36"/>
      <x:c r="H77"/>
    </x:row>
    <x:row r="78">
      <x:c r="A78" t="n">
        <x:v>70</x:v>
      </x:c>
      <x:c r="B78" t="str">
        <x:v>Easy</x:v>
      </x:c>
      <x:c r="C78" t="n">
        <x:v>58</x:v>
      </x:c>
      <x:c r="D78" t="str">
        <x:v>Length of Last Word</x:v>
      </x:c>
      <x:c r="E78" t="str">
        <x:v>https://leetcode.com/problems/length-of-last-word/</x:v>
      </x:c>
      <x:c r="F78" t="str">
        <x:v>Not Started</x:v>
      </x:c>
      <x:c r="G78" s="36" t="n">
        <x:v>46260</x:v>
      </x:c>
      <x:c r="H78"/>
    </x:row>
    <x:row r="79">
      <x:c r="A79" t="n">
        <x:v>71</x:v>
      </x:c>
      <x:c r="B79" t="str">
        <x:v>Easy</x:v>
      </x:c>
      <x:c r="C79" t="n">
        <x:v>67</x:v>
      </x:c>
      <x:c r="D79" t="str">
        <x:v>Add Binary</x:v>
      </x:c>
      <x:c r="E79" t="str">
        <x:v>https://leetcode.com/problems/add-binary/</x:v>
      </x:c>
      <x:c r="F79" t="str">
        <x:v>Not Started</x:v>
      </x:c>
      <x:c r="G79" s="36" t="n">
        <x:v>46261</x:v>
      </x:c>
      <x:c r="H79"/>
    </x:row>
    <x:row r="80">
      <x:c r="A80" t="n">
        <x:v>72</x:v>
      </x:c>
      <x:c r="B80" t="str">
        <x:v>Easy</x:v>
      </x:c>
      <x:c r="C80" t="n">
        <x:v>709</x:v>
      </x:c>
      <x:c r="D80" t="str">
        <x:v>To Lower Case</x:v>
      </x:c>
      <x:c r="E80" t="str">
        <x:v>https://leetcode.com/problems/to-lower-case/</x:v>
      </x:c>
      <x:c r="F80" t="str">
        <x:v>Done</x:v>
      </x:c>
      <x:c r="G80" s="36"/>
      <x:c r="H80"/>
    </x:row>
    <x:row r="81">
      <x:c r="A81" t="n">
        <x:v>73</x:v>
      </x:c>
      <x:c r="B81" t="str">
        <x:v>Easy</x:v>
      </x:c>
      <x:c r="C81" t="n">
        <x:v>771</x:v>
      </x:c>
      <x:c r="D81" t="str">
        <x:v>Jewels and Stones</x:v>
      </x:c>
      <x:c r="E81" t="str">
        <x:v>https://leetcode.com/problems/jewels-and-stones/</x:v>
      </x:c>
      <x:c r="F81" t="str">
        <x:v>Not Started</x:v>
      </x:c>
      <x:c r="G81" s="36" t="n">
        <x:v>46262</x:v>
      </x:c>
      <x:c r="H81"/>
    </x:row>
    <x:row r="82">
      <x:c r="A82" t="n">
        <x:v>74</x:v>
      </x:c>
      <x:c r="B82" t="str">
        <x:v>Easy</x:v>
      </x:c>
      <x:c r="C82" t="n">
        <x:v>1108</x:v>
      </x:c>
      <x:c r="D82" t="str">
        <x:v>Defanging an IP Address</x:v>
      </x:c>
      <x:c r="E82" t="str">
        <x:v>https://leetcode.com/problems/defanging-an-ip-address/</x:v>
      </x:c>
      <x:c r="F82" t="str">
        <x:v>Not Started</x:v>
      </x:c>
      <x:c r="G82" s="36" t="n">
        <x:v>46263</x:v>
      </x:c>
      <x:c r="H82"/>
    </x:row>
    <x:row r="83">
      <x:c r="A83" t="n">
        <x:v>75</x:v>
      </x:c>
      <x:c r="B83" t="str">
        <x:v>Easy</x:v>
      </x:c>
      <x:c r="C83" t="n">
        <x:v>1528</x:v>
      </x:c>
      <x:c r="D83" t="str">
        <x:v>Shuffle String</x:v>
      </x:c>
      <x:c r="E83" t="str">
        <x:v>https://leetcode.com/problems/shuffle-string/</x:v>
      </x:c>
      <x:c r="F83" t="str">
        <x:v>Not Started</x:v>
      </x:c>
      <x:c r="G83" s="36" t="n">
        <x:v>46264</x:v>
      </x:c>
      <x:c r="H83"/>
    </x:row>
    <x:row r="84">
      <x:c r="A84" t="n">
        <x:v>76</x:v>
      </x:c>
      <x:c r="B84" t="str">
        <x:v>Easy</x:v>
      </x:c>
      <x:c r="C84" t="n">
        <x:v>1678</x:v>
      </x:c>
      <x:c r="D84" t="str">
        <x:v>Goal Parser Interpretation</x:v>
      </x:c>
      <x:c r="E84" t="str">
        <x:v>https://leetcode.com/problems/goal-parser-interpretation/</x:v>
      </x:c>
      <x:c r="F84" t="str">
        <x:v>Not Started</x:v>
      </x:c>
      <x:c r="G84" s="36" t="n">
        <x:v>46265</x:v>
      </x:c>
      <x:c r="H84"/>
    </x:row>
    <x:row r="85">
      <x:c r="A85" t="n">
        <x:v>77</x:v>
      </x:c>
      <x:c r="B85" t="str">
        <x:v>Easy</x:v>
      </x:c>
      <x:c r="C85" t="n">
        <x:v>1768</x:v>
      </x:c>
      <x:c r="D85" t="str">
        <x:v>Merge Strings Alternately</x:v>
      </x:c>
      <x:c r="E85" t="str">
        <x:v>https://leetcode.com/problems/merge-strings-alternately/</x:v>
      </x:c>
      <x:c r="F85" t="str">
        <x:v>Not Started</x:v>
      </x:c>
      <x:c r="G85" s="36" t="n">
        <x:v>46266</x:v>
      </x:c>
      <x:c r="H85"/>
    </x:row>
    <x:row r="86">
      <x:c r="A86" t="n">
        <x:v>78</x:v>
      </x:c>
      <x:c r="B86" t="str">
        <x:v>Easy</x:v>
      </x:c>
      <x:c r="C86" t="n">
        <x:v>1876</x:v>
      </x:c>
      <x:c r="D86" t="str">
        <x:v>Substrings of Size Three with Distinct Characters</x:v>
      </x:c>
      <x:c r="E86" t="str">
        <x:v>https://leetcode.com/problems/substrings-of-size-three-with-distinct-characters/</x:v>
      </x:c>
      <x:c r="F86" t="str">
        <x:v>Not Started</x:v>
      </x:c>
      <x:c r="G86" s="36" t="n">
        <x:v>46267</x:v>
      </x:c>
      <x:c r="H86"/>
    </x:row>
    <x:row r="87">
      <x:c r="A87" t="n">
        <x:v>79</x:v>
      </x:c>
      <x:c r="B87" t="str">
        <x:v>Easy</x:v>
      </x:c>
      <x:c r="C87" t="n">
        <x:v>205</x:v>
      </x:c>
      <x:c r="D87" t="str">
        <x:v>Isomorphic Strings</x:v>
      </x:c>
      <x:c r="E87" t="str">
        <x:v>https://leetcode.com/problems/isomorphic-strings/</x:v>
      </x:c>
      <x:c r="F87" t="str">
        <x:v>Not Started</x:v>
      </x:c>
      <x:c r="G87" s="36" t="n">
        <x:v>46268</x:v>
      </x:c>
      <x:c r="H87"/>
    </x:row>
    <x:row r="88">
      <x:c r="A88" t="n">
        <x:v>80</x:v>
      </x:c>
      <x:c r="B88" t="str">
        <x:v>Easy</x:v>
      </x:c>
      <x:c r="C88" t="n">
        <x:v>290</x:v>
      </x:c>
      <x:c r="D88" t="str">
        <x:v>Word Pattern</x:v>
      </x:c>
      <x:c r="E88" t="str">
        <x:v>https://leetcode.com/problems/word-pattern/</x:v>
      </x:c>
      <x:c r="F88" t="str">
        <x:v>Not Started</x:v>
      </x:c>
      <x:c r="G88" s="36" t="n">
        <x:v>46269</x:v>
      </x:c>
      <x:c r="H88"/>
    </x:row>
    <x:row r="89">
      <x:c r="A89" t="n">
        <x:v>81</x:v>
      </x:c>
      <x:c r="B89" t="str">
        <x:v>Easy</x:v>
      </x:c>
      <x:c r="C89" t="n">
        <x:v>409</x:v>
      </x:c>
      <x:c r="D89" t="str">
        <x:v>Longest Palindrome</x:v>
      </x:c>
      <x:c r="E89" t="str">
        <x:v>https://leetcode.com/problems/longest-palindrome/</x:v>
      </x:c>
      <x:c r="F89" t="str">
        <x:v>Not Started</x:v>
      </x:c>
      <x:c r="G89" s="36" t="n">
        <x:v>46270</x:v>
      </x:c>
      <x:c r="H89"/>
    </x:row>
    <x:row r="90">
      <x:c r="A90" t="n">
        <x:v>82</x:v>
      </x:c>
      <x:c r="B90" t="str">
        <x:v>Easy</x:v>
      </x:c>
      <x:c r="C90" t="n">
        <x:v>520</x:v>
      </x:c>
      <x:c r="D90" t="str">
        <x:v>Detect Capital</x:v>
      </x:c>
      <x:c r="E90" t="str">
        <x:v>https://leetcode.com/problems/detect-capital/</x:v>
      </x:c>
      <x:c r="F90" t="str">
        <x:v>Not Started</x:v>
      </x:c>
      <x:c r="G90" s="36" t="n">
        <x:v>46271</x:v>
      </x:c>
      <x:c r="H90"/>
    </x:row>
    <x:row r="91">
      <x:c r="A91" t="n">
        <x:v>83</x:v>
      </x:c>
      <x:c r="B91" t="str">
        <x:v>Easy</x:v>
      </x:c>
      <x:c r="C91" t="n">
        <x:v>557</x:v>
      </x:c>
      <x:c r="D91" t="str">
        <x:v>Reverse Words in a String III</x:v>
      </x:c>
      <x:c r="E91" t="str">
        <x:v>https://leetcode.com/problems/reverse-words-in-a-string-iii/</x:v>
      </x:c>
      <x:c r="F91" t="str">
        <x:v>Not Started</x:v>
      </x:c>
      <x:c r="G91" s="36" t="n">
        <x:v>46272</x:v>
      </x:c>
      <x:c r="H91"/>
    </x:row>
    <x:row r="92">
      <x:c r="A92" t="n">
        <x:v>84</x:v>
      </x:c>
      <x:c r="B92" t="str">
        <x:v>Easy</x:v>
      </x:c>
      <x:c r="C92" t="n">
        <x:v>680</x:v>
      </x:c>
      <x:c r="D92" t="str">
        <x:v>Valid Palindrome II</x:v>
      </x:c>
      <x:c r="E92" t="str">
        <x:v>https://leetcode.com/problems/valid-palindrome-ii/</x:v>
      </x:c>
      <x:c r="F92" t="str">
        <x:v>Not Started</x:v>
      </x:c>
      <x:c r="G92" s="36" t="n">
        <x:v>46273</x:v>
      </x:c>
      <x:c r="H92"/>
    </x:row>
    <x:row r="93">
      <x:c r="A93" t="n">
        <x:v>85</x:v>
      </x:c>
      <x:c r="B93" t="str">
        <x:v>Easy</x:v>
      </x:c>
      <x:c r="C93" t="n">
        <x:v>859</x:v>
      </x:c>
      <x:c r="D93" t="str">
        <x:v>Buddy Strings</x:v>
      </x:c>
      <x:c r="E93" t="str">
        <x:v>https://leetcode.com/problems/buddy-strings/</x:v>
      </x:c>
      <x:c r="F93" t="str">
        <x:v>Not Started</x:v>
      </x:c>
      <x:c r="G93" s="36" t="n">
        <x:v>46274</x:v>
      </x:c>
      <x:c r="H93"/>
    </x:row>
    <x:row r="94">
      <x:c r="A94" t="n">
        <x:v>86</x:v>
      </x:c>
      <x:c r="B94" t="str">
        <x:v>Easy</x:v>
      </x:c>
      <x:c r="C94" t="n">
        <x:v>917</x:v>
      </x:c>
      <x:c r="D94" t="str">
        <x:v>Reverse Only Letters</x:v>
      </x:c>
      <x:c r="E94" t="str">
        <x:v>https://leetcode.com/problems/reverse-only-letters/</x:v>
      </x:c>
      <x:c r="F94" t="str">
        <x:v>Not Started</x:v>
      </x:c>
      <x:c r="G94" s="36" t="n">
        <x:v>46275</x:v>
      </x:c>
      <x:c r="H94"/>
    </x:row>
    <x:row r="95">
      <x:c r="A95" t="n">
        <x:v>87</x:v>
      </x:c>
      <x:c r="B95" t="str">
        <x:v>Easy</x:v>
      </x:c>
      <x:c r="C95" t="n">
        <x:v>925</x:v>
      </x:c>
      <x:c r="D95" t="str">
        <x:v>Long Pressed Name</x:v>
      </x:c>
      <x:c r="E95" t="str">
        <x:v>https://leetcode.com/problems/long-pressed-name/</x:v>
      </x:c>
      <x:c r="F95" t="str">
        <x:v>Not Started</x:v>
      </x:c>
      <x:c r="G95" s="36" t="n">
        <x:v>46276</x:v>
      </x:c>
      <x:c r="H95"/>
    </x:row>
    <x:row r="96">
      <x:c r="A96" t="n">
        <x:v>88</x:v>
      </x:c>
      <x:c r="B96" t="str">
        <x:v>Easy</x:v>
      </x:c>
      <x:c r="C96" t="n">
        <x:v>953</x:v>
      </x:c>
      <x:c r="D96" t="str">
        <x:v>Verifying an Alien Dictionary</x:v>
      </x:c>
      <x:c r="E96" t="str">
        <x:v>https://leetcode.com/problems/verifying-an-alien-dictionary/</x:v>
      </x:c>
      <x:c r="F96" t="str">
        <x:v>Not Started</x:v>
      </x:c>
      <x:c r="G96" s="36" t="n">
        <x:v>46277</x:v>
      </x:c>
      <x:c r="H96"/>
    </x:row>
    <x:row r="97">
      <x:c r="A97" t="n">
        <x:v>89</x:v>
      </x:c>
      <x:c r="B97" t="str">
        <x:v>Easy</x:v>
      </x:c>
      <x:c r="C97" t="n">
        <x:v>1021</x:v>
      </x:c>
      <x:c r="D97" t="str">
        <x:v>Remove Outermost Parentheses</x:v>
      </x:c>
      <x:c r="E97" t="str">
        <x:v>https://leetcode.com/problems/remove-outermost-parentheses/</x:v>
      </x:c>
      <x:c r="F97" t="str">
        <x:v>Not Started</x:v>
      </x:c>
      <x:c r="G97" s="36" t="n">
        <x:v>46278</x:v>
      </x:c>
      <x:c r="H97"/>
    </x:row>
    <x:row r="98">
      <x:c r="A98" t="n">
        <x:v>90</x:v>
      </x:c>
      <x:c r="B98" t="str">
        <x:v>Easy</x:v>
      </x:c>
      <x:c r="C98" t="n">
        <x:v>1221</x:v>
      </x:c>
      <x:c r="D98" t="str">
        <x:v>Split a String in Balanced Strings</x:v>
      </x:c>
      <x:c r="E98" t="str">
        <x:v>https://leetcode.com/problems/split-a-string-in-balanced-strings/</x:v>
      </x:c>
      <x:c r="F98" t="str">
        <x:v>Not Started</x:v>
      </x:c>
      <x:c r="G98" s="36" t="n">
        <x:v>46279</x:v>
      </x:c>
      <x:c r="H98"/>
    </x:row>
    <x:row r="99">
      <x:c r="A99" t="n">
        <x:v>91</x:v>
      </x:c>
      <x:c r="B99" t="str">
        <x:v>Easy</x:v>
      </x:c>
      <x:c r="C99" t="n">
        <x:v>1544</x:v>
      </x:c>
      <x:c r="D99" t="str">
        <x:v>Make The String Great</x:v>
      </x:c>
      <x:c r="E99" t="str">
        <x:v>https://leetcode.com/problems/make-the-string-great/</x:v>
      </x:c>
      <x:c r="F99" t="str">
        <x:v>Not Started</x:v>
      </x:c>
      <x:c r="G99" s="36" t="n">
        <x:v>46280</x:v>
      </x:c>
      <x:c r="H99"/>
    </x:row>
    <x:row r="100">
      <x:c r="A100" t="n">
        <x:v>92</x:v>
      </x:c>
      <x:c r="B100" t="str">
        <x:v>Medium</x:v>
      </x:c>
      <x:c r="C100" t="n">
        <x:v>3</x:v>
      </x:c>
      <x:c r="D100" t="str">
        <x:v>Longest Substring Without Repeating Characters</x:v>
      </x:c>
      <x:c r="E100" t="str">
        <x:v>https://leetcode.com/problems/longest-substring-without-repeating-characters/</x:v>
      </x:c>
      <x:c r="F100" t="str">
        <x:v>Done</x:v>
      </x:c>
      <x:c r="G100" s="36"/>
      <x:c r="H100"/>
    </x:row>
    <x:row r="101">
      <x:c r="A101" t="n">
        <x:v>93</x:v>
      </x:c>
      <x:c r="B101" t="str">
        <x:v>Medium</x:v>
      </x:c>
      <x:c r="C101" t="n">
        <x:v>5</x:v>
      </x:c>
      <x:c r="D101" t="str">
        <x:v>Longest Palindromic Substring</x:v>
      </x:c>
      <x:c r="E101" t="str">
        <x:v>https://leetcode.com/problems/longest-palindromic-substring/</x:v>
      </x:c>
      <x:c r="F101" t="str">
        <x:v>Done</x:v>
      </x:c>
      <x:c r="G101" s="36"/>
      <x:c r="H101"/>
    </x:row>
    <x:row r="102">
      <x:c r="A102" t="n">
        <x:v>94</x:v>
      </x:c>
      <x:c r="B102" t="str">
        <x:v>Medium</x:v>
      </x:c>
      <x:c r="C102" t="n">
        <x:v>6</x:v>
      </x:c>
      <x:c r="D102" t="str">
        <x:v>Zigzag Conversion</x:v>
      </x:c>
      <x:c r="E102" t="str">
        <x:v>https://leetcode.com/problems/zigzag-conversion/</x:v>
      </x:c>
      <x:c r="F102" t="str">
        <x:v>Not Started</x:v>
      </x:c>
      <x:c r="G102" s="36" t="n">
        <x:v>46281</x:v>
      </x:c>
      <x:c r="H102"/>
    </x:row>
    <x:row r="103">
      <x:c r="A103" t="n">
        <x:v>95</x:v>
      </x:c>
      <x:c r="B103" t="str">
        <x:v>Medium</x:v>
      </x:c>
      <x:c r="C103" t="n">
        <x:v>17</x:v>
      </x:c>
      <x:c r="D103" t="str">
        <x:v>Letter Combinations of a Phone Number</x:v>
      </x:c>
      <x:c r="E103" t="str">
        <x:v>https://leetcode.com/problems/letter-combinations-of-a-phone-number/</x:v>
      </x:c>
      <x:c r="F103" t="str">
        <x:v>Not Started</x:v>
      </x:c>
      <x:c r="G103" s="36" t="n">
        <x:v>46282</x:v>
      </x:c>
      <x:c r="H103"/>
    </x:row>
    <x:row r="104">
      <x:c r="A104" t="n">
        <x:v>96</x:v>
      </x:c>
      <x:c r="B104" t="str">
        <x:v>Easy</x:v>
      </x:c>
      <x:c r="C104" t="n">
        <x:v>28</x:v>
      </x:c>
      <x:c r="D104" t="str">
        <x:v>Find the Index of the First Occurrence in a String</x:v>
      </x:c>
      <x:c r="E104" t="str">
        <x:v>https://leetcode.com/problems/find-the-index-of-the-first-occurrence-in-a-string/</x:v>
      </x:c>
      <x:c r="F104" t="str">
        <x:v>Not Started</x:v>
      </x:c>
      <x:c r="G104" s="36" t="n">
        <x:v>46283</x:v>
      </x:c>
      <x:c r="H104"/>
    </x:row>
    <x:row r="105">
      <x:c r="A105" t="n">
        <x:v>97</x:v>
      </x:c>
      <x:c r="B105" t="str">
        <x:v>Medium</x:v>
      </x:c>
      <x:c r="C105" t="n">
        <x:v>43</x:v>
      </x:c>
      <x:c r="D105" t="str">
        <x:v>Multiply Strings</x:v>
      </x:c>
      <x:c r="E105" t="str">
        <x:v>https://leetcode.com/problems/multiply-strings/</x:v>
      </x:c>
      <x:c r="F105" t="str">
        <x:v>Not Started</x:v>
      </x:c>
      <x:c r="G105" s="36" t="n">
        <x:v>46284</x:v>
      </x:c>
      <x:c r="H105"/>
    </x:row>
    <x:row r="106">
      <x:c r="A106" t="n">
        <x:v>98</x:v>
      </x:c>
      <x:c r="B106" t="str">
        <x:v>Medium</x:v>
      </x:c>
      <x:c r="C106" t="n">
        <x:v>151</x:v>
      </x:c>
      <x:c r="D106" t="str">
        <x:v>Reverse Words in a String</x:v>
      </x:c>
      <x:c r="E106" t="str">
        <x:v>https://leetcode.com/problems/reverse-words-in-a-string/</x:v>
      </x:c>
      <x:c r="F106" t="str">
        <x:v>Not Started</x:v>
      </x:c>
      <x:c r="G106" s="36" t="n">
        <x:v>46285</x:v>
      </x:c>
      <x:c r="H106"/>
    </x:row>
    <x:row r="107">
      <x:c r="A107" t="n">
        <x:v>99</x:v>
      </x:c>
      <x:c r="B107" t="str">
        <x:v>Medium</x:v>
      </x:c>
      <x:c r="C107" t="n">
        <x:v>165</x:v>
      </x:c>
      <x:c r="D107" t="str">
        <x:v>Compare Version Numbers</x:v>
      </x:c>
      <x:c r="E107" t="str">
        <x:v>https://leetcode.com/problems/compare-version-numbers/</x:v>
      </x:c>
      <x:c r="F107" t="str">
        <x:v>Not Started</x:v>
      </x:c>
      <x:c r="G107" s="36" t="n">
        <x:v>46286</x:v>
      </x:c>
      <x:c r="H107"/>
    </x:row>
    <x:row r="108">
      <x:c r="A108" t="n">
        <x:v>100</x:v>
      </x:c>
      <x:c r="B108" t="str">
        <x:v>Medium</x:v>
      </x:c>
      <x:c r="C108" t="n">
        <x:v>227</x:v>
      </x:c>
      <x:c r="D108" t="str">
        <x:v>Basic Calculator II</x:v>
      </x:c>
      <x:c r="E108" t="str">
        <x:v>https://leetcode.com/problems/basic-calculator-ii/</x:v>
      </x:c>
      <x:c r="F108" t="str">
        <x:v>Not Started</x:v>
      </x:c>
      <x:c r="G108" s="36" t="n">
        <x:v>46287</x:v>
      </x:c>
      <x:c r="H108"/>
    </x:row>
    <x:row r="109">
      <x:c r="A109" t="n">
        <x:v>101</x:v>
      </x:c>
      <x:c r="B109" t="str">
        <x:v>Medium</x:v>
      </x:c>
      <x:c r="C109" t="n">
        <x:v>394</x:v>
      </x:c>
      <x:c r="D109" t="str">
        <x:v>Decode String</x:v>
      </x:c>
      <x:c r="E109" t="str">
        <x:v>https://leetcode.com/problems/decode-string/</x:v>
      </x:c>
      <x:c r="F109" t="str">
        <x:v>Not Started</x:v>
      </x:c>
      <x:c r="G109" s="36" t="n">
        <x:v>46288</x:v>
      </x:c>
      <x:c r="H109"/>
    </x:row>
    <x:row r="110">
      <x:c r="A110" t="n">
        <x:v>102</x:v>
      </x:c>
      <x:c r="B110" t="str">
        <x:v>Medium</x:v>
      </x:c>
      <x:c r="C110" t="n">
        <x:v>424</x:v>
      </x:c>
      <x:c r="D110" t="str">
        <x:v>Longest Repeating Character Replacement</x:v>
      </x:c>
      <x:c r="E110" t="str">
        <x:v>https://leetcode.com/problems/longest-repeating-character-replacement/</x:v>
      </x:c>
      <x:c r="F110" t="str">
        <x:v>Not Started</x:v>
      </x:c>
      <x:c r="G110" s="36" t="n">
        <x:v>46289</x:v>
      </x:c>
      <x:c r="H110"/>
    </x:row>
    <x:row r="111">
      <x:c r="A111" t="n">
        <x:v>103</x:v>
      </x:c>
      <x:c r="B111" t="str">
        <x:v>Medium</x:v>
      </x:c>
      <x:c r="C111" t="n">
        <x:v>438</x:v>
      </x:c>
      <x:c r="D111" t="str">
        <x:v>Find All Anagrams in a String</x:v>
      </x:c>
      <x:c r="E111" t="str">
        <x:v>https://leetcode.com/problems/find-all-anagrams-in-a-string/</x:v>
      </x:c>
      <x:c r="F111" t="str">
        <x:v>Not Started</x:v>
      </x:c>
      <x:c r="G111" s="36" t="n">
        <x:v>46290</x:v>
      </x:c>
      <x:c r="H111"/>
    </x:row>
    <x:row r="112">
      <x:c r="A112" t="n">
        <x:v>104</x:v>
      </x:c>
      <x:c r="B112" t="str">
        <x:v>Medium</x:v>
      </x:c>
      <x:c r="C112" t="n">
        <x:v>567</x:v>
      </x:c>
      <x:c r="D112" t="str">
        <x:v>Permutation in String</x:v>
      </x:c>
      <x:c r="E112" t="str">
        <x:v>https://leetcode.com/problems/permutation-in-string/</x:v>
      </x:c>
      <x:c r="F112" t="str">
        <x:v>Not Started</x:v>
      </x:c>
      <x:c r="G112" s="36" t="n">
        <x:v>46291</x:v>
      </x:c>
      <x:c r="H112"/>
    </x:row>
    <x:row r="113">
      <x:c r="A113" t="n">
        <x:v>105</x:v>
      </x:c>
      <x:c r="B113" t="str">
        <x:v>Medium</x:v>
      </x:c>
      <x:c r="C113" t="n">
        <x:v>647</x:v>
      </x:c>
      <x:c r="D113" t="str">
        <x:v>Palindromic Substrings</x:v>
      </x:c>
      <x:c r="E113" t="str">
        <x:v>https://leetcode.com/problems/palindromic-substrings/</x:v>
      </x:c>
      <x:c r="F113" t="str">
        <x:v>Not Started</x:v>
      </x:c>
      <x:c r="G113" s="36" t="n">
        <x:v>46292</x:v>
      </x:c>
      <x:c r="H113"/>
    </x:row>
    <x:row r="114">
      <x:c r="A114" t="n">
        <x:v>106</x:v>
      </x:c>
      <x:c r="B114" t="str">
        <x:v>Medium</x:v>
      </x:c>
      <x:c r="C114" t="n">
        <x:v>8</x:v>
      </x:c>
      <x:c r="D114" t="str">
        <x:v>String to Integer (atoi)</x:v>
      </x:c>
      <x:c r="E114" t="str">
        <x:v>https://leetcode.com/problems/string-to-integer-atoi/</x:v>
      </x:c>
      <x:c r="F114" t="str">
        <x:v>Not Started</x:v>
      </x:c>
      <x:c r="G114" s="36" t="n">
        <x:v>46293</x:v>
      </x:c>
      <x:c r="H114"/>
    </x:row>
    <x:row r="115">
      <x:c r="A115" t="n">
        <x:v>107</x:v>
      </x:c>
      <x:c r="B115" t="str">
        <x:v>Medium</x:v>
      </x:c>
      <x:c r="C115" t="n">
        <x:v>12</x:v>
      </x:c>
      <x:c r="D115" t="str">
        <x:v>Integer to Roman</x:v>
      </x:c>
      <x:c r="E115" t="str">
        <x:v>https://leetcode.com/problems/integer-to-roman/</x:v>
      </x:c>
      <x:c r="F115" t="str">
        <x:v>Not Started</x:v>
      </x:c>
      <x:c r="G115" s="36" t="n">
        <x:v>46294</x:v>
      </x:c>
      <x:c r="H115"/>
    </x:row>
    <x:row r="116">
      <x:c r="A116" t="n">
        <x:v>108</x:v>
      </x:c>
      <x:c r="B116" t="str">
        <x:v>Medium</x:v>
      </x:c>
      <x:c r="C116" t="n">
        <x:v>38</x:v>
      </x:c>
      <x:c r="D116" t="str">
        <x:v>Count and Say</x:v>
      </x:c>
      <x:c r="E116" t="str">
        <x:v>https://leetcode.com/problems/count-and-say/</x:v>
      </x:c>
      <x:c r="F116" t="str">
        <x:v>Not Started</x:v>
      </x:c>
      <x:c r="G116" s="36" t="n">
        <x:v>46295</x:v>
      </x:c>
      <x:c r="H116"/>
    </x:row>
    <x:row r="117">
      <x:c r="A117" t="n">
        <x:v>109</x:v>
      </x:c>
      <x:c r="B117" t="str">
        <x:v>Medium</x:v>
      </x:c>
      <x:c r="C117" t="n">
        <x:v>443</x:v>
      </x:c>
      <x:c r="D117" t="str">
        <x:v>String Compression</x:v>
      </x:c>
      <x:c r="E117" t="str">
        <x:v>https://leetcode.com/problems/string-compression/</x:v>
      </x:c>
      <x:c r="F117" t="str">
        <x:v>Not Started</x:v>
      </x:c>
      <x:c r="G117" s="36" t="n">
        <x:v>46296</x:v>
      </x:c>
      <x:c r="H117"/>
    </x:row>
    <x:row r="118">
      <x:c r="A118" t="n">
        <x:v>110</x:v>
      </x:c>
      <x:c r="B118" t="str">
        <x:v>Medium</x:v>
      </x:c>
      <x:c r="C118" t="n">
        <x:v>451</x:v>
      </x:c>
      <x:c r="D118" t="str">
        <x:v>Sort Characters By Frequency</x:v>
      </x:c>
      <x:c r="E118" t="str">
        <x:v>https://leetcode.com/problems/sort-characters-by-frequency/</x:v>
      </x:c>
      <x:c r="F118" t="str">
        <x:v>Not Started</x:v>
      </x:c>
      <x:c r="G118" s="36" t="n">
        <x:v>46297</x:v>
      </x:c>
      <x:c r="H118"/>
    </x:row>
    <x:row r="119">
      <x:c r="A119" t="n">
        <x:v>111</x:v>
      </x:c>
      <x:c r="B119" t="str">
        <x:v>Medium</x:v>
      </x:c>
      <x:c r="C119" t="n">
        <x:v>767</x:v>
      </x:c>
      <x:c r="D119" t="str">
        <x:v>Reorganize String</x:v>
      </x:c>
      <x:c r="E119" t="str">
        <x:v>https://leetcode.com/problems/reorganize-string/</x:v>
      </x:c>
      <x:c r="F119" t="str">
        <x:v>Not Started</x:v>
      </x:c>
      <x:c r="G119" s="36" t="n">
        <x:v>46298</x:v>
      </x:c>
      <x:c r="H119"/>
    </x:row>
    <x:row r="120">
      <x:c r="A120" t="n">
        <x:v>112</x:v>
      </x:c>
      <x:c r="B120" t="str">
        <x:v>Medium</x:v>
      </x:c>
      <x:c r="C120" t="n">
        <x:v>791</x:v>
      </x:c>
      <x:c r="D120" t="str">
        <x:v>Custom Sort String</x:v>
      </x:c>
      <x:c r="E120" t="str">
        <x:v>https://leetcode.com/problems/custom-sort-string/</x:v>
      </x:c>
      <x:c r="F120" t="str">
        <x:v>Not Started</x:v>
      </x:c>
      <x:c r="G120" s="36" t="n">
        <x:v>46299</x:v>
      </x:c>
      <x:c r="H120"/>
    </x:row>
    <x:row r="121">
      <x:c r="A121" t="n">
        <x:v>113</x:v>
      </x:c>
      <x:c r="B121" t="str">
        <x:v>Easy</x:v>
      </x:c>
      <x:c r="C121" t="n">
        <x:v>844</x:v>
      </x:c>
      <x:c r="D121" t="str">
        <x:v>Backspace String Compare</x:v>
      </x:c>
      <x:c r="E121" t="str">
        <x:v>https://leetcode.com/problems/backspace-string-compare/</x:v>
      </x:c>
      <x:c r="F121" t="str">
        <x:v>Not Started</x:v>
      </x:c>
      <x:c r="G121" s="36" t="n">
        <x:v>46300</x:v>
      </x:c>
      <x:c r="H121"/>
    </x:row>
    <x:row r="122">
      <x:c r="A122" t="n">
        <x:v>114</x:v>
      </x:c>
      <x:c r="B122" t="str">
        <x:v>Hard</x:v>
      </x:c>
      <x:c r="C122" t="n">
        <x:v>76</x:v>
      </x:c>
      <x:c r="D122" t="str">
        <x:v>Minimum Window Substring</x:v>
      </x:c>
      <x:c r="E122" t="str">
        <x:v>https://leetcode.com/problems/minimum-window-substring/</x:v>
      </x:c>
      <x:c r="F122" t="str">
        <x:v>Not Started</x:v>
      </x:c>
      <x:c r="G122" s="36" t="n">
        <x:v>46301</x:v>
      </x:c>
      <x:c r="H122"/>
    </x:row>
    <x:row r="123">
      <x:c r="A123" t="n">
        <x:v>115</x:v>
      </x:c>
      <x:c r="B123" t="str">
        <x:v>Hard</x:v>
      </x:c>
      <x:c r="C123" t="n">
        <x:v>30</x:v>
      </x:c>
      <x:c r="D123" t="str">
        <x:v>Substring with Concatenation of All Words</x:v>
      </x:c>
      <x:c r="E123" t="str">
        <x:v>https://leetcode.com/problems/substring-with-concatenation-of-all-words/</x:v>
      </x:c>
      <x:c r="F123" t="str">
        <x:v>Not Started</x:v>
      </x:c>
      <x:c r="G123" s="36" t="n">
        <x:v>46302</x:v>
      </x:c>
      <x:c r="H123"/>
    </x:row>
    <x:row r="124">
      <x:c r="A124"/>
      <x:c r="B124"/>
      <x:c r="C124"/>
      <x:c r="D124"/>
      <x:c r="E124"/>
      <x:c r="F124"/>
      <x:c r="G124"/>
      <x:c r="H124"/>
    </x:row>
    <x:row r="125">
      <x:c r="A125"/>
      <x:c r="B125"/>
      <x:c r="C125"/>
      <x:c r="D125"/>
      <x:c r="E125"/>
      <x:c r="F125"/>
      <x:c r="G125"/>
      <x:c r="H125"/>
    </x:row>
    <x:row r="126">
      <x:c r="A126" s="220" t="str">
        <x:v>Linked List  —  30 problems</x:v>
      </x:c>
      <x:c r="B126" s="220"/>
      <x:c r="C126" s="220"/>
      <x:c r="D126" s="220"/>
      <x:c r="E126" s="220"/>
      <x:c r="F126" s="220"/>
      <x:c r="G126" s="220"/>
      <x:c r="H126" s="220"/>
    </x:row>
    <x:row r="127">
      <x:c r="A127" s="224" t="str">
        <x:v>Seq</x:v>
      </x:c>
      <x:c r="B127" s="224" t="str">
        <x:v>Difficulty</x:v>
      </x:c>
      <x:c r="C127" s="224" t="str">
        <x:v>LC ID</x:v>
      </x:c>
      <x:c r="D127" s="224" t="str">
        <x:v>Problem Title</x:v>
      </x:c>
      <x:c r="E127" s="224" t="str">
        <x:v>Problem URL</x:v>
      </x:c>
      <x:c r="F127" s="224" t="str">
        <x:v>Status</x:v>
      </x:c>
      <x:c r="G127" s="224" t="str">
        <x:v>Planned Date</x:v>
      </x:c>
      <x:c r="H127" s="224" t="str">
        <x:v>Notes</x:v>
      </x:c>
    </x:row>
    <x:row r="128">
      <x:c r="A128" t="n">
        <x:v>116</x:v>
      </x:c>
      <x:c r="B128" t="str">
        <x:v>Easy</x:v>
      </x:c>
      <x:c r="C128" t="n">
        <x:v>21</x:v>
      </x:c>
      <x:c r="D128" t="str">
        <x:v>Merge Two Sorted Lists</x:v>
      </x:c>
      <x:c r="E128" t="str">
        <x:v>https://leetcode.com/problems/merge-two-sorted-lists/</x:v>
      </x:c>
      <x:c r="F128" t="str">
        <x:v>Done</x:v>
      </x:c>
      <x:c r="G128" s="36"/>
      <x:c r="H128"/>
    </x:row>
    <x:row r="129">
      <x:c r="A129" t="n">
        <x:v>117</x:v>
      </x:c>
      <x:c r="B129" t="str">
        <x:v>Easy</x:v>
      </x:c>
      <x:c r="C129" t="n">
        <x:v>83</x:v>
      </x:c>
      <x:c r="D129" t="str">
        <x:v>Remove Duplicates from Sorted List</x:v>
      </x:c>
      <x:c r="E129" t="str">
        <x:v>https://leetcode.com/problems/remove-duplicates-from-sorted-list/</x:v>
      </x:c>
      <x:c r="F129" t="str">
        <x:v>Not Started</x:v>
      </x:c>
      <x:c r="G129" s="36" t="n">
        <x:v>46303</x:v>
      </x:c>
      <x:c r="H129"/>
    </x:row>
    <x:row r="130">
      <x:c r="A130" t="n">
        <x:v>118</x:v>
      </x:c>
      <x:c r="B130" t="str">
        <x:v>Easy</x:v>
      </x:c>
      <x:c r="C130" t="n">
        <x:v>141</x:v>
      </x:c>
      <x:c r="D130" t="str">
        <x:v>Linked List Cycle</x:v>
      </x:c>
      <x:c r="E130" t="str">
        <x:v>https://leetcode.com/problems/linked-list-cycle/</x:v>
      </x:c>
      <x:c r="F130" t="str">
        <x:v>Done</x:v>
      </x:c>
      <x:c r="G130" s="36"/>
      <x:c r="H130"/>
    </x:row>
    <x:row r="131">
      <x:c r="A131" t="n">
        <x:v>119</x:v>
      </x:c>
      <x:c r="B131" t="str">
        <x:v>Easy</x:v>
      </x:c>
      <x:c r="C131" t="n">
        <x:v>160</x:v>
      </x:c>
      <x:c r="D131" t="str">
        <x:v>Intersection of Two Linked Lists</x:v>
      </x:c>
      <x:c r="E131" t="str">
        <x:v>https://leetcode.com/problems/intersection-of-two-linked-lists/</x:v>
      </x:c>
      <x:c r="F131" t="str">
        <x:v>Done</x:v>
      </x:c>
      <x:c r="G131" s="36"/>
      <x:c r="H131"/>
    </x:row>
    <x:row r="132">
      <x:c r="A132" t="n">
        <x:v>120</x:v>
      </x:c>
      <x:c r="B132" t="str">
        <x:v>Easy</x:v>
      </x:c>
      <x:c r="C132" t="n">
        <x:v>203</x:v>
      </x:c>
      <x:c r="D132" t="str">
        <x:v>Remove Linked List Elements</x:v>
      </x:c>
      <x:c r="E132" t="str">
        <x:v>https://leetcode.com/problems/remove-linked-list-elements/</x:v>
      </x:c>
      <x:c r="F132" t="str">
        <x:v>Done</x:v>
      </x:c>
      <x:c r="G132" s="36"/>
      <x:c r="H132"/>
    </x:row>
    <x:row r="133">
      <x:c r="A133" t="n">
        <x:v>121</x:v>
      </x:c>
      <x:c r="B133" t="str">
        <x:v>Easy</x:v>
      </x:c>
      <x:c r="C133" t="n">
        <x:v>206</x:v>
      </x:c>
      <x:c r="D133" t="str">
        <x:v>Reverse Linked List</x:v>
      </x:c>
      <x:c r="E133" t="str">
        <x:v>https://leetcode.com/problems/reverse-linked-list/</x:v>
      </x:c>
      <x:c r="F133" t="str">
        <x:v>Done</x:v>
      </x:c>
      <x:c r="G133" s="36"/>
      <x:c r="H133"/>
    </x:row>
    <x:row r="134">
      <x:c r="A134" t="n">
        <x:v>122</x:v>
      </x:c>
      <x:c r="B134" t="str">
        <x:v>Easy</x:v>
      </x:c>
      <x:c r="C134" t="n">
        <x:v>234</x:v>
      </x:c>
      <x:c r="D134" t="str">
        <x:v>Palindrome Linked List</x:v>
      </x:c>
      <x:c r="E134" t="str">
        <x:v>https://leetcode.com/problems/palindrome-linked-list/</x:v>
      </x:c>
      <x:c r="F134" t="str">
        <x:v>Done</x:v>
      </x:c>
      <x:c r="G134" s="36"/>
      <x:c r="H134"/>
    </x:row>
    <x:row r="135">
      <x:c r="A135" t="n">
        <x:v>123</x:v>
      </x:c>
      <x:c r="B135" t="str">
        <x:v>Easy</x:v>
      </x:c>
      <x:c r="C135" t="n">
        <x:v>876</x:v>
      </x:c>
      <x:c r="D135" t="str">
        <x:v>Middle of the Linked List</x:v>
      </x:c>
      <x:c r="E135" t="str">
        <x:v>https://leetcode.com/problems/middle-of-the-linked-list/</x:v>
      </x:c>
      <x:c r="F135" t="str">
        <x:v>Done</x:v>
      </x:c>
      <x:c r="G135" s="36"/>
      <x:c r="H135"/>
    </x:row>
    <x:row r="136">
      <x:c r="A136" t="n">
        <x:v>124</x:v>
      </x:c>
      <x:c r="B136" t="str">
        <x:v>Medium</x:v>
      </x:c>
      <x:c r="C136" t="n">
        <x:v>2</x:v>
      </x:c>
      <x:c r="D136" t="str">
        <x:v>Add Two Numbers</x:v>
      </x:c>
      <x:c r="E136" t="str">
        <x:v>https://leetcode.com/problems/add-two-numbers/</x:v>
      </x:c>
      <x:c r="F136" t="str">
        <x:v>Done</x:v>
      </x:c>
      <x:c r="G136" s="36"/>
      <x:c r="H136"/>
    </x:row>
    <x:row r="137">
      <x:c r="A137" t="n">
        <x:v>125</x:v>
      </x:c>
      <x:c r="B137" t="str">
        <x:v>Medium</x:v>
      </x:c>
      <x:c r="C137" t="n">
        <x:v>19</x:v>
      </x:c>
      <x:c r="D137" t="str">
        <x:v>Remove Nth Node From End of List</x:v>
      </x:c>
      <x:c r="E137" t="str">
        <x:v>https://leetcode.com/problems/remove-nth-node-from-end-of-list/</x:v>
      </x:c>
      <x:c r="F137" t="str">
        <x:v>Done</x:v>
      </x:c>
      <x:c r="G137" s="36"/>
      <x:c r="H137"/>
    </x:row>
    <x:row r="138">
      <x:c r="A138" t="n">
        <x:v>126</x:v>
      </x:c>
      <x:c r="B138" t="str">
        <x:v>Medium</x:v>
      </x:c>
      <x:c r="C138" t="n">
        <x:v>24</x:v>
      </x:c>
      <x:c r="D138" t="str">
        <x:v>Swap Nodes in Pairs</x:v>
      </x:c>
      <x:c r="E138" t="str">
        <x:v>https://leetcode.com/problems/swap-nodes-in-pairs/</x:v>
      </x:c>
      <x:c r="F138" t="str">
        <x:v>Not Started</x:v>
      </x:c>
      <x:c r="G138" s="36" t="n">
        <x:v>46304</x:v>
      </x:c>
      <x:c r="H138"/>
    </x:row>
    <x:row r="139">
      <x:c r="A139" t="n">
        <x:v>127</x:v>
      </x:c>
      <x:c r="B139" t="str">
        <x:v>Medium</x:v>
      </x:c>
      <x:c r="C139" t="n">
        <x:v>61</x:v>
      </x:c>
      <x:c r="D139" t="str">
        <x:v>Rotate List</x:v>
      </x:c>
      <x:c r="E139" t="str">
        <x:v>https://leetcode.com/problems/rotate-list/</x:v>
      </x:c>
      <x:c r="F139" t="str">
        <x:v>Not Started</x:v>
      </x:c>
      <x:c r="G139" s="36" t="n">
        <x:v>46305</x:v>
      </x:c>
      <x:c r="H139"/>
    </x:row>
    <x:row r="140">
      <x:c r="A140" t="n">
        <x:v>128</x:v>
      </x:c>
      <x:c r="B140" t="str">
        <x:v>Medium</x:v>
      </x:c>
      <x:c r="C140" t="n">
        <x:v>82</x:v>
      </x:c>
      <x:c r="D140" t="str">
        <x:v>Remove Duplicates from Sorted List II</x:v>
      </x:c>
      <x:c r="E140" t="str">
        <x:v>https://leetcode.com/problems/remove-duplicates-from-sorted-list-ii/</x:v>
      </x:c>
      <x:c r="F140" t="str">
        <x:v>Not Started</x:v>
      </x:c>
      <x:c r="G140" s="36" t="n">
        <x:v>46306</x:v>
      </x:c>
      <x:c r="H140"/>
    </x:row>
    <x:row r="141">
      <x:c r="A141" t="n">
        <x:v>129</x:v>
      </x:c>
      <x:c r="B141" t="str">
        <x:v>Medium</x:v>
      </x:c>
      <x:c r="C141" t="n">
        <x:v>86</x:v>
      </x:c>
      <x:c r="D141" t="str">
        <x:v>Partition List</x:v>
      </x:c>
      <x:c r="E141" t="str">
        <x:v>https://leetcode.com/problems/partition-list/</x:v>
      </x:c>
      <x:c r="F141" t="str">
        <x:v>Not Started</x:v>
      </x:c>
      <x:c r="G141" s="36" t="n">
        <x:v>46307</x:v>
      </x:c>
      <x:c r="H141"/>
    </x:row>
    <x:row r="142">
      <x:c r="A142" t="n">
        <x:v>130</x:v>
      </x:c>
      <x:c r="B142" t="str">
        <x:v>Medium</x:v>
      </x:c>
      <x:c r="C142" t="n">
        <x:v>92</x:v>
      </x:c>
      <x:c r="D142" t="str">
        <x:v>Reverse Linked List II</x:v>
      </x:c>
      <x:c r="E142" t="str">
        <x:v>https://leetcode.com/problems/reverse-linked-list-ii/</x:v>
      </x:c>
      <x:c r="F142" t="str">
        <x:v>Not Started</x:v>
      </x:c>
      <x:c r="G142" s="36" t="n">
        <x:v>46308</x:v>
      </x:c>
      <x:c r="H142"/>
    </x:row>
    <x:row r="143">
      <x:c r="A143" t="n">
        <x:v>131</x:v>
      </x:c>
      <x:c r="B143" t="str">
        <x:v>Medium</x:v>
      </x:c>
      <x:c r="C143" t="n">
        <x:v>138</x:v>
      </x:c>
      <x:c r="D143" t="str">
        <x:v>Copy List with Random Pointer</x:v>
      </x:c>
      <x:c r="E143" t="str">
        <x:v>https://leetcode.com/problems/copy-list-with-random-pointer/</x:v>
      </x:c>
      <x:c r="F143" t="str">
        <x:v>Not Started</x:v>
      </x:c>
      <x:c r="G143" s="36" t="n">
        <x:v>46309</x:v>
      </x:c>
      <x:c r="H143"/>
    </x:row>
    <x:row r="144">
      <x:c r="A144" t="n">
        <x:v>132</x:v>
      </x:c>
      <x:c r="B144" t="str">
        <x:v>Medium</x:v>
      </x:c>
      <x:c r="C144" t="n">
        <x:v>142</x:v>
      </x:c>
      <x:c r="D144" t="str">
        <x:v>Linked List Cycle II</x:v>
      </x:c>
      <x:c r="E144" t="str">
        <x:v>https://leetcode.com/problems/linked-list-cycle-ii/</x:v>
      </x:c>
      <x:c r="F144" t="str">
        <x:v>Done</x:v>
      </x:c>
      <x:c r="G144" s="36"/>
      <x:c r="H144"/>
    </x:row>
    <x:row r="145">
      <x:c r="A145" t="n">
        <x:v>133</x:v>
      </x:c>
      <x:c r="B145" t="str">
        <x:v>Medium</x:v>
      </x:c>
      <x:c r="C145" t="n">
        <x:v>143</x:v>
      </x:c>
      <x:c r="D145" t="str">
        <x:v>Reorder List</x:v>
      </x:c>
      <x:c r="E145" t="str">
        <x:v>https://leetcode.com/problems/reorder-list/</x:v>
      </x:c>
      <x:c r="F145" t="str">
        <x:v>Done</x:v>
      </x:c>
      <x:c r="G145" s="36"/>
      <x:c r="H145"/>
    </x:row>
    <x:row r="146">
      <x:c r="A146" t="n">
        <x:v>134</x:v>
      </x:c>
      <x:c r="B146" t="str">
        <x:v>Medium</x:v>
      </x:c>
      <x:c r="C146" t="n">
        <x:v>146</x:v>
      </x:c>
      <x:c r="D146" t="str">
        <x:v>LRU Cache</x:v>
      </x:c>
      <x:c r="E146" t="str">
        <x:v>https://leetcode.com/problems/lru-cache/</x:v>
      </x:c>
      <x:c r="F146" t="str">
        <x:v>Not Started</x:v>
      </x:c>
      <x:c r="G146" s="36" t="n">
        <x:v>46310</x:v>
      </x:c>
      <x:c r="H146"/>
    </x:row>
    <x:row r="147">
      <x:c r="A147" t="n">
        <x:v>135</x:v>
      </x:c>
      <x:c r="B147" t="str">
        <x:v>Medium</x:v>
      </x:c>
      <x:c r="C147" t="n">
        <x:v>147</x:v>
      </x:c>
      <x:c r="D147" t="str">
        <x:v>Insertion Sort List</x:v>
      </x:c>
      <x:c r="E147" t="str">
        <x:v>https://leetcode.com/problems/insertion-sort-list/</x:v>
      </x:c>
      <x:c r="F147" t="str">
        <x:v>Not Started</x:v>
      </x:c>
      <x:c r="G147" s="36" t="n">
        <x:v>46310</x:v>
      </x:c>
      <x:c r="H147"/>
    </x:row>
    <x:row r="148">
      <x:c r="A148" t="n">
        <x:v>136</x:v>
      </x:c>
      <x:c r="B148" t="str">
        <x:v>Medium</x:v>
      </x:c>
      <x:c r="C148" t="n">
        <x:v>148</x:v>
      </x:c>
      <x:c r="D148" t="str">
        <x:v>Sort List</x:v>
      </x:c>
      <x:c r="E148" t="str">
        <x:v>https://leetcode.com/problems/sort-list/</x:v>
      </x:c>
      <x:c r="F148" t="str">
        <x:v>Done</x:v>
      </x:c>
      <x:c r="G148" s="36"/>
      <x:c r="H148"/>
    </x:row>
    <x:row r="149">
      <x:c r="A149" t="n">
        <x:v>137</x:v>
      </x:c>
      <x:c r="B149" t="str">
        <x:v>Medium</x:v>
      </x:c>
      <x:c r="C149" t="n">
        <x:v>328</x:v>
      </x:c>
      <x:c r="D149" t="str">
        <x:v>Odd Even Linked List</x:v>
      </x:c>
      <x:c r="E149" t="str">
        <x:v>https://leetcode.com/problems/odd-even-linked-list/</x:v>
      </x:c>
      <x:c r="F149" t="str">
        <x:v>Not Started</x:v>
      </x:c>
      <x:c r="G149" s="36" t="n">
        <x:v>46311</x:v>
      </x:c>
      <x:c r="H149"/>
    </x:row>
    <x:row r="150">
      <x:c r="A150" t="n">
        <x:v>138</x:v>
      </x:c>
      <x:c r="B150" t="str">
        <x:v>Medium</x:v>
      </x:c>
      <x:c r="C150" t="n">
        <x:v>445</x:v>
      </x:c>
      <x:c r="D150" t="str">
        <x:v>Add Two Numbers II</x:v>
      </x:c>
      <x:c r="E150" t="str">
        <x:v>https://leetcode.com/problems/add-two-numbers-ii/</x:v>
      </x:c>
      <x:c r="F150" t="str">
        <x:v>Not Started</x:v>
      </x:c>
      <x:c r="G150" s="36" t="n">
        <x:v>46311</x:v>
      </x:c>
      <x:c r="H150"/>
    </x:row>
    <x:row r="151">
      <x:c r="A151" t="n">
        <x:v>139</x:v>
      </x:c>
      <x:c r="B151" t="str">
        <x:v>Medium</x:v>
      </x:c>
      <x:c r="C151" t="n">
        <x:v>707</x:v>
      </x:c>
      <x:c r="D151" t="str">
        <x:v>Design Linked List</x:v>
      </x:c>
      <x:c r="E151" t="str">
        <x:v>https://leetcode.com/problems/design-linked-list/</x:v>
      </x:c>
      <x:c r="F151" t="str">
        <x:v>Not Started</x:v>
      </x:c>
      <x:c r="G151" s="36" t="n">
        <x:v>46312</x:v>
      </x:c>
      <x:c r="H151"/>
    </x:row>
    <x:row r="152">
      <x:c r="A152" t="n">
        <x:v>140</x:v>
      </x:c>
      <x:c r="B152" t="str">
        <x:v>Medium</x:v>
      </x:c>
      <x:c r="C152" t="n">
        <x:v>725</x:v>
      </x:c>
      <x:c r="D152" t="str">
        <x:v>Split Linked List in Parts</x:v>
      </x:c>
      <x:c r="E152" t="str">
        <x:v>https://leetcode.com/problems/split-linked-list-in-parts/</x:v>
      </x:c>
      <x:c r="F152" t="str">
        <x:v>Not Started</x:v>
      </x:c>
      <x:c r="G152" s="36" t="n">
        <x:v>46312</x:v>
      </x:c>
      <x:c r="H152"/>
    </x:row>
    <x:row r="153">
      <x:c r="A153" t="n">
        <x:v>141</x:v>
      </x:c>
      <x:c r="B153" t="str">
        <x:v>Medium</x:v>
      </x:c>
      <x:c r="C153" t="n">
        <x:v>817</x:v>
      </x:c>
      <x:c r="D153" t="str">
        <x:v>Linked List Components</x:v>
      </x:c>
      <x:c r="E153" t="str">
        <x:v>https://leetcode.com/problems/linked-list-components/</x:v>
      </x:c>
      <x:c r="F153" t="str">
        <x:v>Not Started</x:v>
      </x:c>
      <x:c r="G153" s="36" t="n">
        <x:v>46313</x:v>
      </x:c>
      <x:c r="H153"/>
    </x:row>
    <x:row r="154">
      <x:c r="A154" t="n">
        <x:v>142</x:v>
      </x:c>
      <x:c r="B154" t="str">
        <x:v>Medium</x:v>
      </x:c>
      <x:c r="C154" t="n">
        <x:v>1019</x:v>
      </x:c>
      <x:c r="D154" t="str">
        <x:v>Next Greater Node In Linked List</x:v>
      </x:c>
      <x:c r="E154" t="str">
        <x:v>https://leetcode.com/problems/next-greater-node-in-linked-list/</x:v>
      </x:c>
      <x:c r="F154" t="str">
        <x:v>Not Started</x:v>
      </x:c>
      <x:c r="G154" s="36" t="n">
        <x:v>46313</x:v>
      </x:c>
      <x:c r="H154"/>
    </x:row>
    <x:row r="155">
      <x:c r="A155" t="n">
        <x:v>143</x:v>
      </x:c>
      <x:c r="B155" t="str">
        <x:v>Medium</x:v>
      </x:c>
      <x:c r="C155" t="n">
        <x:v>1171</x:v>
      </x:c>
      <x:c r="D155" t="str">
        <x:v>Remove Zero Sum Consecutive Nodes from Linked List</x:v>
      </x:c>
      <x:c r="E155" t="str">
        <x:v>https://leetcode.com/problems/remove-zero-sum-consecutive-nodes-from-linked-list/</x:v>
      </x:c>
      <x:c r="F155" t="str">
        <x:v>Not Started</x:v>
      </x:c>
      <x:c r="G155" s="36" t="n">
        <x:v>46314</x:v>
      </x:c>
      <x:c r="H155"/>
    </x:row>
    <x:row r="156">
      <x:c r="A156" t="n">
        <x:v>144</x:v>
      </x:c>
      <x:c r="B156" t="str">
        <x:v>Hard</x:v>
      </x:c>
      <x:c r="C156" t="n">
        <x:v>23</x:v>
      </x:c>
      <x:c r="D156" t="str">
        <x:v>Merge k Sorted Lists</x:v>
      </x:c>
      <x:c r="E156" t="str">
        <x:v>https://leetcode.com/problems/merge-k-sorted-lists/</x:v>
      </x:c>
      <x:c r="F156" t="str">
        <x:v>Not Started</x:v>
      </x:c>
      <x:c r="G156" s="36" t="n">
        <x:v>46314</x:v>
      </x:c>
      <x:c r="H156"/>
    </x:row>
    <x:row r="157">
      <x:c r="A157" t="n">
        <x:v>145</x:v>
      </x:c>
      <x:c r="B157" t="str">
        <x:v>Hard</x:v>
      </x:c>
      <x:c r="C157" t="n">
        <x:v>25</x:v>
      </x:c>
      <x:c r="D157" t="str">
        <x:v>Reverse Nodes in k-Group</x:v>
      </x:c>
      <x:c r="E157" t="str">
        <x:v>https://leetcode.com/problems/reverse-nodes-in-k-group/</x:v>
      </x:c>
      <x:c r="F157" t="str">
        <x:v>Not Started</x:v>
      </x:c>
      <x:c r="G157" s="36" t="n">
        <x:v>46315</x:v>
      </x:c>
      <x:c r="H157"/>
    </x:row>
    <x:row r="158">
      <x:c r="A158"/>
      <x:c r="B158"/>
      <x:c r="C158"/>
      <x:c r="D158"/>
      <x:c r="E158"/>
      <x:c r="F158"/>
      <x:c r="G158"/>
      <x:c r="H158"/>
    </x:row>
    <x:row r="159">
      <x:c r="A159"/>
      <x:c r="B159"/>
      <x:c r="C159"/>
      <x:c r="D159"/>
      <x:c r="E159"/>
      <x:c r="F159"/>
      <x:c r="G159"/>
      <x:c r="H159"/>
    </x:row>
    <x:row r="160">
      <x:c r="A160" s="220" t="str">
        <x:v>Stack / Queue / Monotonic  —  35 problems</x:v>
      </x:c>
      <x:c r="B160" s="220"/>
      <x:c r="C160" s="220"/>
      <x:c r="D160" s="220"/>
      <x:c r="E160" s="220"/>
      <x:c r="F160" s="220"/>
      <x:c r="G160" s="220"/>
      <x:c r="H160" s="220"/>
    </x:row>
    <x:row r="161">
      <x:c r="A161" s="224" t="str">
        <x:v>Seq</x:v>
      </x:c>
      <x:c r="B161" s="224" t="str">
        <x:v>Difficulty</x:v>
      </x:c>
      <x:c r="C161" s="224" t="str">
        <x:v>LC ID</x:v>
      </x:c>
      <x:c r="D161" s="224" t="str">
        <x:v>Problem Title</x:v>
      </x:c>
      <x:c r="E161" s="224" t="str">
        <x:v>Problem URL</x:v>
      </x:c>
      <x:c r="F161" s="224" t="str">
        <x:v>Status</x:v>
      </x:c>
      <x:c r="G161" s="224" t="str">
        <x:v>Planned Date</x:v>
      </x:c>
      <x:c r="H161" s="224" t="str">
        <x:v>Notes</x:v>
      </x:c>
    </x:row>
    <x:row r="162">
      <x:c r="A162" t="n">
        <x:v>146</x:v>
      </x:c>
      <x:c r="B162" t="str">
        <x:v>Easy</x:v>
      </x:c>
      <x:c r="C162" t="n">
        <x:v>20</x:v>
      </x:c>
      <x:c r="D162" t="str">
        <x:v>Valid Parentheses</x:v>
      </x:c>
      <x:c r="E162" t="str">
        <x:v>https://leetcode.com/problems/valid-parentheses/</x:v>
      </x:c>
      <x:c r="F162" t="str">
        <x:v>Done</x:v>
      </x:c>
      <x:c r="G162" s="36"/>
      <x:c r="H162"/>
    </x:row>
    <x:row r="163">
      <x:c r="A163" t="n">
        <x:v>147</x:v>
      </x:c>
      <x:c r="B163" t="str">
        <x:v>Medium</x:v>
      </x:c>
      <x:c r="C163" t="n">
        <x:v>155</x:v>
      </x:c>
      <x:c r="D163" t="str">
        <x:v>Min Stack</x:v>
      </x:c>
      <x:c r="E163" t="str">
        <x:v>https://leetcode.com/problems/min-stack/</x:v>
      </x:c>
      <x:c r="F163" t="str">
        <x:v>Done</x:v>
      </x:c>
      <x:c r="G163" s="36"/>
      <x:c r="H163"/>
    </x:row>
    <x:row r="164">
      <x:c r="A164" t="n">
        <x:v>148</x:v>
      </x:c>
      <x:c r="B164" t="str">
        <x:v>Medium</x:v>
      </x:c>
      <x:c r="C164" t="n">
        <x:v>150</x:v>
      </x:c>
      <x:c r="D164" t="str">
        <x:v>Evaluate Reverse Polish Notation</x:v>
      </x:c>
      <x:c r="E164" t="str">
        <x:v>https://leetcode.com/problems/evaluate-reverse-polish-notation/</x:v>
      </x:c>
      <x:c r="F164" t="str">
        <x:v>Not Started</x:v>
      </x:c>
      <x:c r="G164" s="36" t="n">
        <x:v>46315</x:v>
      </x:c>
      <x:c r="H164"/>
    </x:row>
    <x:row r="165">
      <x:c r="A165" t="n">
        <x:v>149</x:v>
      </x:c>
      <x:c r="B165" t="str">
        <x:v>Easy</x:v>
      </x:c>
      <x:c r="C165" t="n">
        <x:v>225</x:v>
      </x:c>
      <x:c r="D165" t="str">
        <x:v>Implement Stack using Queues</x:v>
      </x:c>
      <x:c r="E165" t="str">
        <x:v>https://leetcode.com/problems/implement-stack-using-queues/</x:v>
      </x:c>
      <x:c r="F165" t="str">
        <x:v>Not Started</x:v>
      </x:c>
      <x:c r="G165" s="36" t="n">
        <x:v>46316</x:v>
      </x:c>
      <x:c r="H165"/>
    </x:row>
    <x:row r="166">
      <x:c r="A166" t="n">
        <x:v>150</x:v>
      </x:c>
      <x:c r="B166" t="str">
        <x:v>Easy</x:v>
      </x:c>
      <x:c r="C166" t="n">
        <x:v>232</x:v>
      </x:c>
      <x:c r="D166" t="str">
        <x:v>Implement Queue using Stacks</x:v>
      </x:c>
      <x:c r="E166" t="str">
        <x:v>https://leetcode.com/problems/implement-queue-using-stacks/</x:v>
      </x:c>
      <x:c r="F166" t="str">
        <x:v>Not Started</x:v>
      </x:c>
      <x:c r="G166" s="36" t="n">
        <x:v>46316</x:v>
      </x:c>
      <x:c r="H166"/>
    </x:row>
    <x:row r="167">
      <x:c r="A167" t="n">
        <x:v>151</x:v>
      </x:c>
      <x:c r="B167" t="str">
        <x:v>Easy</x:v>
      </x:c>
      <x:c r="C167" t="n">
        <x:v>682</x:v>
      </x:c>
      <x:c r="D167" t="str">
        <x:v>Baseball Game</x:v>
      </x:c>
      <x:c r="E167" t="str">
        <x:v>https://leetcode.com/problems/baseball-game/</x:v>
      </x:c>
      <x:c r="F167" t="str">
        <x:v>Not Started</x:v>
      </x:c>
      <x:c r="G167" s="36" t="n">
        <x:v>46317</x:v>
      </x:c>
      <x:c r="H167"/>
    </x:row>
    <x:row r="168">
      <x:c r="A168" t="n">
        <x:v>152</x:v>
      </x:c>
      <x:c r="B168" t="str">
        <x:v>Medium</x:v>
      </x:c>
      <x:c r="C168" t="n">
        <x:v>739</x:v>
      </x:c>
      <x:c r="D168" t="str">
        <x:v>Daily Temperatures</x:v>
      </x:c>
      <x:c r="E168" t="str">
        <x:v>https://leetcode.com/problems/daily-temperatures/</x:v>
      </x:c>
      <x:c r="F168" t="str">
        <x:v>Not Started</x:v>
      </x:c>
      <x:c r="G168" s="36" t="n">
        <x:v>46317</x:v>
      </x:c>
      <x:c r="H168"/>
    </x:row>
    <x:row r="169">
      <x:c r="A169" t="n">
        <x:v>153</x:v>
      </x:c>
      <x:c r="B169" t="str">
        <x:v>Medium</x:v>
      </x:c>
      <x:c r="C169" t="n">
        <x:v>735</x:v>
      </x:c>
      <x:c r="D169" t="str">
        <x:v>Asteroid Collision</x:v>
      </x:c>
      <x:c r="E169" t="str">
        <x:v>https://leetcode.com/problems/asteroid-collision/</x:v>
      </x:c>
      <x:c r="F169" t="str">
        <x:v>Not Started</x:v>
      </x:c>
      <x:c r="G169" s="36" t="n">
        <x:v>46318</x:v>
      </x:c>
      <x:c r="H169"/>
    </x:row>
    <x:row r="170">
      <x:c r="A170" t="n">
        <x:v>154</x:v>
      </x:c>
      <x:c r="B170" t="str">
        <x:v>Medium</x:v>
      </x:c>
      <x:c r="C170" t="n">
        <x:v>71</x:v>
      </x:c>
      <x:c r="D170" t="str">
        <x:v>Simplify Path</x:v>
      </x:c>
      <x:c r="E170" t="str">
        <x:v>https://leetcode.com/problems/simplify-path/</x:v>
      </x:c>
      <x:c r="F170" t="str">
        <x:v>Not Started</x:v>
      </x:c>
      <x:c r="G170" s="36" t="n">
        <x:v>46318</x:v>
      </x:c>
      <x:c r="H170"/>
    </x:row>
    <x:row r="171">
      <x:c r="A171" t="n">
        <x:v>155</x:v>
      </x:c>
      <x:c r="B171" t="str">
        <x:v>Medium</x:v>
      </x:c>
      <x:c r="C171" t="n">
        <x:v>901</x:v>
      </x:c>
      <x:c r="D171" t="str">
        <x:v>Online Stock Span</x:v>
      </x:c>
      <x:c r="E171" t="str">
        <x:v>https://leetcode.com/problems/online-stock-span/</x:v>
      </x:c>
      <x:c r="F171" t="str">
        <x:v>Not Started</x:v>
      </x:c>
      <x:c r="G171" s="36" t="n">
        <x:v>46319</x:v>
      </x:c>
      <x:c r="H171"/>
    </x:row>
    <x:row r="172">
      <x:c r="A172" t="n">
        <x:v>156</x:v>
      </x:c>
      <x:c r="B172" t="str">
        <x:v>Medium</x:v>
      </x:c>
      <x:c r="C172" t="n">
        <x:v>622</x:v>
      </x:c>
      <x:c r="D172" t="str">
        <x:v>Design Circular Queue</x:v>
      </x:c>
      <x:c r="E172" t="str">
        <x:v>https://leetcode.com/problems/design-circular-queue/</x:v>
      </x:c>
      <x:c r="F172" t="str">
        <x:v>Not Started</x:v>
      </x:c>
      <x:c r="G172" s="36" t="n">
        <x:v>46319</x:v>
      </x:c>
      <x:c r="H172"/>
    </x:row>
    <x:row r="173">
      <x:c r="A173" t="n">
        <x:v>157</x:v>
      </x:c>
      <x:c r="B173" t="str">
        <x:v>Medium</x:v>
      </x:c>
      <x:c r="C173" t="n">
        <x:v>641</x:v>
      </x:c>
      <x:c r="D173" t="str">
        <x:v>Design Circular Deque</x:v>
      </x:c>
      <x:c r="E173" t="str">
        <x:v>https://leetcode.com/problems/design-circular-deque/</x:v>
      </x:c>
      <x:c r="F173" t="str">
        <x:v>Not Started</x:v>
      </x:c>
      <x:c r="G173" s="36" t="n">
        <x:v>46320</x:v>
      </x:c>
      <x:c r="H173"/>
    </x:row>
    <x:row r="174">
      <x:c r="A174" t="n">
        <x:v>158</x:v>
      </x:c>
      <x:c r="B174" t="str">
        <x:v>Easy</x:v>
      </x:c>
      <x:c r="C174" t="n">
        <x:v>933</x:v>
      </x:c>
      <x:c r="D174" t="str">
        <x:v>Number of Recent Calls</x:v>
      </x:c>
      <x:c r="E174" t="str">
        <x:v>https://leetcode.com/problems/number-of-recent-calls/</x:v>
      </x:c>
      <x:c r="F174" t="str">
        <x:v>Not Started</x:v>
      </x:c>
      <x:c r="G174" s="36" t="n">
        <x:v>46320</x:v>
      </x:c>
      <x:c r="H174"/>
    </x:row>
    <x:row r="175">
      <x:c r="A175" t="n">
        <x:v>159</x:v>
      </x:c>
      <x:c r="B175" t="str">
        <x:v>Medium</x:v>
      </x:c>
      <x:c r="C175" t="n">
        <x:v>950</x:v>
      </x:c>
      <x:c r="D175" t="str">
        <x:v>Reveal Cards In Increasing Order</x:v>
      </x:c>
      <x:c r="E175" t="str">
        <x:v>https://leetcode.com/problems/reveal-cards-in-increasing-order/</x:v>
      </x:c>
      <x:c r="F175" t="str">
        <x:v>Not Started</x:v>
      </x:c>
      <x:c r="G175" s="36" t="n">
        <x:v>46321</x:v>
      </x:c>
      <x:c r="H175"/>
    </x:row>
    <x:row r="176">
      <x:c r="A176" t="n">
        <x:v>160</x:v>
      </x:c>
      <x:c r="B176" t="str">
        <x:v>Medium</x:v>
      </x:c>
      <x:c r="C176" t="n">
        <x:v>649</x:v>
      </x:c>
      <x:c r="D176" t="str">
        <x:v>Dota2 Senate</x:v>
      </x:c>
      <x:c r="E176" t="str">
        <x:v>https://leetcode.com/problems/dota2-senate/</x:v>
      </x:c>
      <x:c r="F176" t="str">
        <x:v>Not Started</x:v>
      </x:c>
      <x:c r="G176" s="36" t="n">
        <x:v>46321</x:v>
      </x:c>
      <x:c r="H176"/>
    </x:row>
    <x:row r="177">
      <x:c r="A177" t="n">
        <x:v>161</x:v>
      </x:c>
      <x:c r="B177" t="str">
        <x:v>Medium</x:v>
      </x:c>
      <x:c r="C177" t="n">
        <x:v>1441</x:v>
      </x:c>
      <x:c r="D177" t="str">
        <x:v>Build an Array With Stack Operations</x:v>
      </x:c>
      <x:c r="E177" t="str">
        <x:v>https://leetcode.com/problems/build-an-array-with-stack-operations/</x:v>
      </x:c>
      <x:c r="F177" t="str">
        <x:v>Not Started</x:v>
      </x:c>
      <x:c r="G177" s="36" t="n">
        <x:v>46322</x:v>
      </x:c>
      <x:c r="H177"/>
    </x:row>
    <x:row r="178">
      <x:c r="A178" t="n">
        <x:v>162</x:v>
      </x:c>
      <x:c r="B178" t="str">
        <x:v>Easy</x:v>
      </x:c>
      <x:c r="C178" t="n">
        <x:v>1598</x:v>
      </x:c>
      <x:c r="D178" t="str">
        <x:v>Crawler Log Folder</x:v>
      </x:c>
      <x:c r="E178" t="str">
        <x:v>https://leetcode.com/problems/crawler-log-folder/</x:v>
      </x:c>
      <x:c r="F178" t="str">
        <x:v>Not Started</x:v>
      </x:c>
      <x:c r="G178" s="36" t="n">
        <x:v>46322</x:v>
      </x:c>
      <x:c r="H178"/>
    </x:row>
    <x:row r="179">
      <x:c r="A179" t="n">
        <x:v>163</x:v>
      </x:c>
      <x:c r="B179" t="str">
        <x:v>Easy</x:v>
      </x:c>
      <x:c r="C179" t="n">
        <x:v>1700</x:v>
      </x:c>
      <x:c r="D179" t="str">
        <x:v>Number of Students Unable to Eat Lunch</x:v>
      </x:c>
      <x:c r="E179" t="str">
        <x:v>https://leetcode.com/problems/number-of-students-unable-to-eat-lunch/</x:v>
      </x:c>
      <x:c r="F179" t="str">
        <x:v>Not Started</x:v>
      </x:c>
      <x:c r="G179" s="36" t="n">
        <x:v>46323</x:v>
      </x:c>
      <x:c r="H179"/>
    </x:row>
    <x:row r="180">
      <x:c r="A180" t="n">
        <x:v>164</x:v>
      </x:c>
      <x:c r="B180" t="str">
        <x:v>Easy</x:v>
      </x:c>
      <x:c r="C180" t="n">
        <x:v>496</x:v>
      </x:c>
      <x:c r="D180" t="str">
        <x:v>Next Greater Element I</x:v>
      </x:c>
      <x:c r="E180" t="str">
        <x:v>https://leetcode.com/problems/next-greater-element-i/</x:v>
      </x:c>
      <x:c r="F180" t="str">
        <x:v>Not Started</x:v>
      </x:c>
      <x:c r="G180" s="36" t="n">
        <x:v>46323</x:v>
      </x:c>
      <x:c r="H180"/>
    </x:row>
    <x:row r="181">
      <x:c r="A181" t="n">
        <x:v>165</x:v>
      </x:c>
      <x:c r="B181" t="str">
        <x:v>Medium</x:v>
      </x:c>
      <x:c r="C181" t="n">
        <x:v>503</x:v>
      </x:c>
      <x:c r="D181" t="str">
        <x:v>Next Greater Element II</x:v>
      </x:c>
      <x:c r="E181" t="str">
        <x:v>https://leetcode.com/problems/next-greater-element-ii/</x:v>
      </x:c>
      <x:c r="F181" t="str">
        <x:v>Not Started</x:v>
      </x:c>
      <x:c r="G181" s="36" t="n">
        <x:v>46324</x:v>
      </x:c>
      <x:c r="H181"/>
    </x:row>
    <x:row r="182">
      <x:c r="A182" t="n">
        <x:v>166</x:v>
      </x:c>
      <x:c r="B182" t="str">
        <x:v>Medium</x:v>
      </x:c>
      <x:c r="C182" t="n">
        <x:v>456</x:v>
      </x:c>
      <x:c r="D182" t="str">
        <x:v>132 Pattern</x:v>
      </x:c>
      <x:c r="E182" t="str">
        <x:v>https://leetcode.com/problems/132-pattern/</x:v>
      </x:c>
      <x:c r="F182" t="str">
        <x:v>Not Started</x:v>
      </x:c>
      <x:c r="G182" s="36" t="n">
        <x:v>46324</x:v>
      </x:c>
      <x:c r="H182"/>
    </x:row>
    <x:row r="183">
      <x:c r="A183" t="n">
        <x:v>167</x:v>
      </x:c>
      <x:c r="B183" t="str">
        <x:v>Medium</x:v>
      </x:c>
      <x:c r="C183" t="n">
        <x:v>853</x:v>
      </x:c>
      <x:c r="D183" t="str">
        <x:v>Car Fleet</x:v>
      </x:c>
      <x:c r="E183" t="str">
        <x:v>https://leetcode.com/problems/car-fleet/</x:v>
      </x:c>
      <x:c r="F183" t="str">
        <x:v>Not Started</x:v>
      </x:c>
      <x:c r="G183" s="36" t="n">
        <x:v>46325</x:v>
      </x:c>
      <x:c r="H183"/>
    </x:row>
    <x:row r="184">
      <x:c r="A184" t="n">
        <x:v>168</x:v>
      </x:c>
      <x:c r="B184" t="str">
        <x:v>Medium</x:v>
      </x:c>
      <x:c r="C184" t="n">
        <x:v>402</x:v>
      </x:c>
      <x:c r="D184" t="str">
        <x:v>Remove K Digits</x:v>
      </x:c>
      <x:c r="E184" t="str">
        <x:v>https://leetcode.com/problems/remove-k-digits/</x:v>
      </x:c>
      <x:c r="F184" t="str">
        <x:v>Not Started</x:v>
      </x:c>
      <x:c r="G184" s="36" t="n">
        <x:v>46325</x:v>
      </x:c>
      <x:c r="H184"/>
    </x:row>
    <x:row r="185">
      <x:c r="A185" t="n">
        <x:v>169</x:v>
      </x:c>
      <x:c r="B185" t="str">
        <x:v>Medium</x:v>
      </x:c>
      <x:c r="C185" t="n">
        <x:v>316</x:v>
      </x:c>
      <x:c r="D185" t="str">
        <x:v>Remove Duplicate Letters</x:v>
      </x:c>
      <x:c r="E185" t="str">
        <x:v>https://leetcode.com/problems/remove-duplicate-letters/</x:v>
      </x:c>
      <x:c r="F185" t="str">
        <x:v>Not Started</x:v>
      </x:c>
      <x:c r="G185" s="36" t="n">
        <x:v>46326</x:v>
      </x:c>
      <x:c r="H185"/>
    </x:row>
    <x:row r="186">
      <x:c r="A186" t="n">
        <x:v>170</x:v>
      </x:c>
      <x:c r="B186" t="str">
        <x:v>Hard</x:v>
      </x:c>
      <x:c r="C186" t="n">
        <x:v>32</x:v>
      </x:c>
      <x:c r="D186" t="str">
        <x:v>Longest Valid Parentheses</x:v>
      </x:c>
      <x:c r="E186" t="str">
        <x:v>https://leetcode.com/problems/longest-valid-parentheses/</x:v>
      </x:c>
      <x:c r="F186" t="str">
        <x:v>Not Started</x:v>
      </x:c>
      <x:c r="G186" s="36" t="n">
        <x:v>46326</x:v>
      </x:c>
      <x:c r="H186"/>
    </x:row>
    <x:row r="187">
      <x:c r="A187" t="n">
        <x:v>171</x:v>
      </x:c>
      <x:c r="B187" t="str">
        <x:v>Hard</x:v>
      </x:c>
      <x:c r="C187" t="n">
        <x:v>84</x:v>
      </x:c>
      <x:c r="D187" t="str">
        <x:v>Largest Rectangle in Histogram</x:v>
      </x:c>
      <x:c r="E187" t="str">
        <x:v>https://leetcode.com/problems/largest-rectangle-in-histogram/</x:v>
      </x:c>
      <x:c r="F187" t="str">
        <x:v>Not Started</x:v>
      </x:c>
      <x:c r="G187" s="36" t="n">
        <x:v>46327</x:v>
      </x:c>
      <x:c r="H187"/>
    </x:row>
    <x:row r="188">
      <x:c r="A188" t="n">
        <x:v>172</x:v>
      </x:c>
      <x:c r="B188" t="str">
        <x:v>Hard</x:v>
      </x:c>
      <x:c r="C188" t="n">
        <x:v>85</x:v>
      </x:c>
      <x:c r="D188" t="str">
        <x:v>Maximal Rectangle</x:v>
      </x:c>
      <x:c r="E188" t="str">
        <x:v>https://leetcode.com/problems/maximal-rectangle/</x:v>
      </x:c>
      <x:c r="F188" t="str">
        <x:v>Not Started</x:v>
      </x:c>
      <x:c r="G188" s="36" t="n">
        <x:v>46327</x:v>
      </x:c>
      <x:c r="H188"/>
    </x:row>
    <x:row r="189">
      <x:c r="A189" t="n">
        <x:v>173</x:v>
      </x:c>
      <x:c r="B189" t="str">
        <x:v>Hard</x:v>
      </x:c>
      <x:c r="C189" t="n">
        <x:v>224</x:v>
      </x:c>
      <x:c r="D189" t="str">
        <x:v>Basic Calculator</x:v>
      </x:c>
      <x:c r="E189" t="str">
        <x:v>https://leetcode.com/problems/basic-calculator/</x:v>
      </x:c>
      <x:c r="F189" t="str">
        <x:v>Not Started</x:v>
      </x:c>
      <x:c r="G189" s="36" t="n">
        <x:v>46328</x:v>
      </x:c>
      <x:c r="H189"/>
    </x:row>
    <x:row r="190">
      <x:c r="A190" t="n">
        <x:v>174</x:v>
      </x:c>
      <x:c r="B190" t="str">
        <x:v>Medium</x:v>
      </x:c>
      <x:c r="C190" t="n">
        <x:v>636</x:v>
      </x:c>
      <x:c r="D190" t="str">
        <x:v>Exclusive Time of Functions</x:v>
      </x:c>
      <x:c r="E190" t="str">
        <x:v>https://leetcode.com/problems/exclusive-time-of-functions/</x:v>
      </x:c>
      <x:c r="F190" t="str">
        <x:v>Not Started</x:v>
      </x:c>
      <x:c r="G190" s="36" t="n">
        <x:v>46328</x:v>
      </x:c>
      <x:c r="H190"/>
    </x:row>
    <x:row r="191">
      <x:c r="A191" t="n">
        <x:v>175</x:v>
      </x:c>
      <x:c r="B191" t="str">
        <x:v>Medium</x:v>
      </x:c>
      <x:c r="C191" t="n">
        <x:v>921</x:v>
      </x:c>
      <x:c r="D191" t="str">
        <x:v>Minimum Add to Make Parentheses Valid</x:v>
      </x:c>
      <x:c r="E191" t="str">
        <x:v>https://leetcode.com/problems/minimum-add-to-make-parentheses-valid/</x:v>
      </x:c>
      <x:c r="F191" t="str">
        <x:v>Not Started</x:v>
      </x:c>
      <x:c r="G191" s="36" t="n">
        <x:v>46329</x:v>
      </x:c>
      <x:c r="H191"/>
    </x:row>
    <x:row r="192">
      <x:c r="A192" t="n">
        <x:v>176</x:v>
      </x:c>
      <x:c r="B192" t="str">
        <x:v>Medium</x:v>
      </x:c>
      <x:c r="C192" t="n">
        <x:v>1249</x:v>
      </x:c>
      <x:c r="D192" t="str">
        <x:v>Minimum Remove to Make Valid Parentheses</x:v>
      </x:c>
      <x:c r="E192" t="str">
        <x:v>https://leetcode.com/problems/minimum-remove-to-make-valid-parentheses/</x:v>
      </x:c>
      <x:c r="F192" t="str">
        <x:v>Not Started</x:v>
      </x:c>
      <x:c r="G192" s="36" t="n">
        <x:v>46329</x:v>
      </x:c>
      <x:c r="H192"/>
    </x:row>
    <x:row r="193">
      <x:c r="A193" t="n">
        <x:v>177</x:v>
      </x:c>
      <x:c r="B193" t="str">
        <x:v>Medium</x:v>
      </x:c>
      <x:c r="C193" t="n">
        <x:v>1209</x:v>
      </x:c>
      <x:c r="D193" t="str">
        <x:v>Remove All Adjacent Duplicates in String II</x:v>
      </x:c>
      <x:c r="E193" t="str">
        <x:v>https://leetcode.com/problems/remove-all-adjacent-duplicates-in-string-ii/</x:v>
      </x:c>
      <x:c r="F193" t="str">
        <x:v>Not Started</x:v>
      </x:c>
      <x:c r="G193" s="36" t="n">
        <x:v>46330</x:v>
      </x:c>
      <x:c r="H193"/>
    </x:row>
    <x:row r="194">
      <x:c r="A194" t="n">
        <x:v>178</x:v>
      </x:c>
      <x:c r="B194" t="str">
        <x:v>Medium</x:v>
      </x:c>
      <x:c r="C194" t="n">
        <x:v>1003</x:v>
      </x:c>
      <x:c r="D194" t="str">
        <x:v>Check If Word Is Valid After Substitutions</x:v>
      </x:c>
      <x:c r="E194" t="str">
        <x:v>https://leetcode.com/problems/check-if-word-is-valid-after-substitutions/</x:v>
      </x:c>
      <x:c r="F194" t="str">
        <x:v>Not Started</x:v>
      </x:c>
      <x:c r="G194" s="36" t="n">
        <x:v>46330</x:v>
      </x:c>
      <x:c r="H194"/>
    </x:row>
    <x:row r="195">
      <x:c r="A195" t="n">
        <x:v>179</x:v>
      </x:c>
      <x:c r="B195" t="str">
        <x:v>Medium</x:v>
      </x:c>
      <x:c r="C195" t="n">
        <x:v>1381</x:v>
      </x:c>
      <x:c r="D195" t="str">
        <x:v>Design a Stack With Increment Operation</x:v>
      </x:c>
      <x:c r="E195" t="str">
        <x:v>https://leetcode.com/problems/design-a-stack-with-increment-operation/</x:v>
      </x:c>
      <x:c r="F195" t="str">
        <x:v>Not Started</x:v>
      </x:c>
      <x:c r="G195" s="36" t="n">
        <x:v>46331</x:v>
      </x:c>
      <x:c r="H195"/>
    </x:row>
    <x:row r="196">
      <x:c r="A196" t="n">
        <x:v>180</x:v>
      </x:c>
      <x:c r="B196" t="str">
        <x:v>Easy</x:v>
      </x:c>
      <x:c r="C196" t="n">
        <x:v>1475</x:v>
      </x:c>
      <x:c r="D196" t="str">
        <x:v>Final Prices With a Special Discount in a Shop</x:v>
      </x:c>
      <x:c r="E196" t="str">
        <x:v>https://leetcode.com/problems/final-prices-with-a-special-discount-in-a-shop/</x:v>
      </x:c>
      <x:c r="F196" t="str">
        <x:v>Not Started</x:v>
      </x:c>
      <x:c r="G196" s="36" t="n">
        <x:v>46331</x:v>
      </x:c>
      <x:c r="H196"/>
    </x:row>
    <x:row r="197">
      <x:c r="A197"/>
      <x:c r="B197"/>
      <x:c r="C197"/>
      <x:c r="D197"/>
      <x:c r="E197"/>
      <x:c r="F197"/>
      <x:c r="G197"/>
      <x:c r="H197"/>
    </x:row>
    <x:row r="198">
      <x:c r="A198"/>
      <x:c r="B198"/>
      <x:c r="C198"/>
      <x:c r="D198"/>
      <x:c r="E198"/>
      <x:c r="F198"/>
      <x:c r="G198"/>
      <x:c r="H198"/>
    </x:row>
    <x:row r="199">
      <x:c r="A199" s="220" t="str">
        <x:v>Binary Search  —  35 problems</x:v>
      </x:c>
      <x:c r="B199" s="220"/>
      <x:c r="C199" s="220"/>
      <x:c r="D199" s="220"/>
      <x:c r="E199" s="220"/>
      <x:c r="F199" s="220"/>
      <x:c r="G199" s="220"/>
      <x:c r="H199" s="220"/>
    </x:row>
    <x:row r="200">
      <x:c r="A200" s="224" t="str">
        <x:v>Seq</x:v>
      </x:c>
      <x:c r="B200" s="224" t="str">
        <x:v>Difficulty</x:v>
      </x:c>
      <x:c r="C200" s="224" t="str">
        <x:v>LC ID</x:v>
      </x:c>
      <x:c r="D200" s="224" t="str">
        <x:v>Problem Title</x:v>
      </x:c>
      <x:c r="E200" s="224" t="str">
        <x:v>Problem URL</x:v>
      </x:c>
      <x:c r="F200" s="224" t="str">
        <x:v>Status</x:v>
      </x:c>
      <x:c r="G200" s="224" t="str">
        <x:v>Planned Date</x:v>
      </x:c>
      <x:c r="H200" s="224" t="str">
        <x:v>Notes</x:v>
      </x:c>
    </x:row>
    <x:row r="201">
      <x:c r="A201" t="n">
        <x:v>181</x:v>
      </x:c>
      <x:c r="B201" t="str">
        <x:v>Easy</x:v>
      </x:c>
      <x:c r="C201" t="n">
        <x:v>704</x:v>
      </x:c>
      <x:c r="D201" t="str">
        <x:v>Binary Search</x:v>
      </x:c>
      <x:c r="E201" t="str">
        <x:v>https://leetcode.com/problems/binary-search/</x:v>
      </x:c>
      <x:c r="F201" t="str">
        <x:v>Done</x:v>
      </x:c>
      <x:c r="G201" s="36"/>
      <x:c r="H201"/>
    </x:row>
    <x:row r="202">
      <x:c r="A202" t="n">
        <x:v>182</x:v>
      </x:c>
      <x:c r="B202" t="str">
        <x:v>Easy</x:v>
      </x:c>
      <x:c r="C202" t="n">
        <x:v>35</x:v>
      </x:c>
      <x:c r="D202" t="str">
        <x:v>Search Insert Position</x:v>
      </x:c>
      <x:c r="E202" t="str">
        <x:v>https://leetcode.com/problems/search-insert-position/</x:v>
      </x:c>
      <x:c r="F202" t="str">
        <x:v>Not Started</x:v>
      </x:c>
      <x:c r="G202" s="36" t="n">
        <x:v>46332</x:v>
      </x:c>
      <x:c r="H202"/>
    </x:row>
    <x:row r="203">
      <x:c r="A203" t="n">
        <x:v>183</x:v>
      </x:c>
      <x:c r="B203" t="str">
        <x:v>Easy</x:v>
      </x:c>
      <x:c r="C203" t="n">
        <x:v>69</x:v>
      </x:c>
      <x:c r="D203" t="str">
        <x:v>Sqrt(x)</x:v>
      </x:c>
      <x:c r="E203" t="str">
        <x:v>https://leetcode.com/problems/sqrt-x/</x:v>
      </x:c>
      <x:c r="F203" t="str">
        <x:v>Not Started</x:v>
      </x:c>
      <x:c r="G203" s="36" t="n">
        <x:v>46332</x:v>
      </x:c>
      <x:c r="H203"/>
    </x:row>
    <x:row r="204">
      <x:c r="A204" t="n">
        <x:v>184</x:v>
      </x:c>
      <x:c r="B204" t="str">
        <x:v>Easy</x:v>
      </x:c>
      <x:c r="C204" t="n">
        <x:v>278</x:v>
      </x:c>
      <x:c r="D204" t="str">
        <x:v>First Bad Version</x:v>
      </x:c>
      <x:c r="E204" t="str">
        <x:v>https://leetcode.com/problems/first-bad-version/</x:v>
      </x:c>
      <x:c r="F204" t="str">
        <x:v>Not Started</x:v>
      </x:c>
      <x:c r="G204" s="36" t="n">
        <x:v>46333</x:v>
      </x:c>
      <x:c r="H204"/>
    </x:row>
    <x:row r="205">
      <x:c r="A205" t="n">
        <x:v>185</x:v>
      </x:c>
      <x:c r="B205" t="str">
        <x:v>Easy</x:v>
      </x:c>
      <x:c r="C205" t="n">
        <x:v>374</x:v>
      </x:c>
      <x:c r="D205" t="str">
        <x:v>Guess Number Higher or Lower</x:v>
      </x:c>
      <x:c r="E205" t="str">
        <x:v>https://leetcode.com/problems/guess-number-higher-or-lower/</x:v>
      </x:c>
      <x:c r="F205" t="str">
        <x:v>Not Started</x:v>
      </x:c>
      <x:c r="G205" s="36" t="n">
        <x:v>46333</x:v>
      </x:c>
      <x:c r="H205"/>
    </x:row>
    <x:row r="206">
      <x:c r="A206" t="n">
        <x:v>186</x:v>
      </x:c>
      <x:c r="B206" t="str">
        <x:v>Medium</x:v>
      </x:c>
      <x:c r="C206" t="n">
        <x:v>33</x:v>
      </x:c>
      <x:c r="D206" t="str">
        <x:v>Search in Rotated Sorted Array</x:v>
      </x:c>
      <x:c r="E206" t="str">
        <x:v>https://leetcode.com/problems/search-in-rotated-sorted-array/</x:v>
      </x:c>
      <x:c r="F206" t="str">
        <x:v>Not Started</x:v>
      </x:c>
      <x:c r="G206" s="36" t="n">
        <x:v>46334</x:v>
      </x:c>
      <x:c r="H206"/>
    </x:row>
    <x:row r="207">
      <x:c r="A207" t="n">
        <x:v>187</x:v>
      </x:c>
      <x:c r="B207" t="str">
        <x:v>Medium</x:v>
      </x:c>
      <x:c r="C207" t="n">
        <x:v>34</x:v>
      </x:c>
      <x:c r="D207" t="str">
        <x:v>Find First and Last Position of Element in Sorted Array</x:v>
      </x:c>
      <x:c r="E207" t="str">
        <x:v>https://leetcode.com/problems/find-first-and-last-position-of-element-in-sorted-array/</x:v>
      </x:c>
      <x:c r="F207" t="str">
        <x:v>Not Started</x:v>
      </x:c>
      <x:c r="G207" s="36" t="n">
        <x:v>46334</x:v>
      </x:c>
      <x:c r="H207"/>
    </x:row>
    <x:row r="208">
      <x:c r="A208" t="n">
        <x:v>188</x:v>
      </x:c>
      <x:c r="B208" t="str">
        <x:v>Medium</x:v>
      </x:c>
      <x:c r="C208" t="n">
        <x:v>74</x:v>
      </x:c>
      <x:c r="D208" t="str">
        <x:v>Search a 2D Matrix</x:v>
      </x:c>
      <x:c r="E208" t="str">
        <x:v>https://leetcode.com/problems/search-a-2d-matrix/</x:v>
      </x:c>
      <x:c r="F208" t="str">
        <x:v>Not Started</x:v>
      </x:c>
      <x:c r="G208" s="36" t="n">
        <x:v>46335</x:v>
      </x:c>
      <x:c r="H208"/>
    </x:row>
    <x:row r="209">
      <x:c r="A209" t="n">
        <x:v>189</x:v>
      </x:c>
      <x:c r="B209" t="str">
        <x:v>Medium</x:v>
      </x:c>
      <x:c r="C209" t="n">
        <x:v>153</x:v>
      </x:c>
      <x:c r="D209" t="str">
        <x:v>Find Minimum in Rotated Sorted Array</x:v>
      </x:c>
      <x:c r="E209" t="str">
        <x:v>https://leetcode.com/problems/find-minimum-in-rotated-sorted-array/</x:v>
      </x:c>
      <x:c r="F209" t="str">
        <x:v>Done</x:v>
      </x:c>
      <x:c r="G209" s="36"/>
      <x:c r="H209"/>
    </x:row>
    <x:row r="210">
      <x:c r="A210" t="n">
        <x:v>190</x:v>
      </x:c>
      <x:c r="B210" t="str">
        <x:v>Hard</x:v>
      </x:c>
      <x:c r="C210" t="n">
        <x:v>154</x:v>
      </x:c>
      <x:c r="D210" t="str">
        <x:v>Find Minimum in Rotated Sorted Array II</x:v>
      </x:c>
      <x:c r="E210" t="str">
        <x:v>https://leetcode.com/problems/find-minimum-in-rotated-sorted-array-ii/</x:v>
      </x:c>
      <x:c r="F210" t="str">
        <x:v>Not Started</x:v>
      </x:c>
      <x:c r="G210" s="36" t="n">
        <x:v>46335</x:v>
      </x:c>
      <x:c r="H210"/>
    </x:row>
    <x:row r="211">
      <x:c r="A211" t="n">
        <x:v>191</x:v>
      </x:c>
      <x:c r="B211" t="str">
        <x:v>Medium</x:v>
      </x:c>
      <x:c r="C211" t="n">
        <x:v>162</x:v>
      </x:c>
      <x:c r="D211" t="str">
        <x:v>Find Peak Element</x:v>
      </x:c>
      <x:c r="E211" t="str">
        <x:v>https://leetcode.com/problems/find-peak-element/</x:v>
      </x:c>
      <x:c r="F211" t="str">
        <x:v>Not Started</x:v>
      </x:c>
      <x:c r="G211" s="36" t="n">
        <x:v>46336</x:v>
      </x:c>
      <x:c r="H211"/>
    </x:row>
    <x:row r="212">
      <x:c r="A212" t="n">
        <x:v>192</x:v>
      </x:c>
      <x:c r="B212" t="str">
        <x:v>Medium</x:v>
      </x:c>
      <x:c r="C212" t="n">
        <x:v>240</x:v>
      </x:c>
      <x:c r="D212" t="str">
        <x:v>Search a 2D Matrix II</x:v>
      </x:c>
      <x:c r="E212" t="str">
        <x:v>https://leetcode.com/problems/search-a-2d-matrix-ii/</x:v>
      </x:c>
      <x:c r="F212" t="str">
        <x:v>Not Started</x:v>
      </x:c>
      <x:c r="G212" s="36" t="n">
        <x:v>46336</x:v>
      </x:c>
      <x:c r="H212"/>
    </x:row>
    <x:row r="213">
      <x:c r="A213" t="n">
        <x:v>193</x:v>
      </x:c>
      <x:c r="B213" t="str">
        <x:v>Medium</x:v>
      </x:c>
      <x:c r="C213" t="n">
        <x:v>275</x:v>
      </x:c>
      <x:c r="D213" t="str">
        <x:v>H-Index II</x:v>
      </x:c>
      <x:c r="E213" t="str">
        <x:v>https://leetcode.com/problems/h-index-ii/</x:v>
      </x:c>
      <x:c r="F213" t="str">
        <x:v>Not Started</x:v>
      </x:c>
      <x:c r="G213" s="36" t="n">
        <x:v>46337</x:v>
      </x:c>
      <x:c r="H213"/>
    </x:row>
    <x:row r="214">
      <x:c r="A214" t="n">
        <x:v>194</x:v>
      </x:c>
      <x:c r="B214" t="str">
        <x:v>Easy</x:v>
      </x:c>
      <x:c r="C214" t="n">
        <x:v>367</x:v>
      </x:c>
      <x:c r="D214" t="str">
        <x:v>Valid Perfect Square</x:v>
      </x:c>
      <x:c r="E214" t="str">
        <x:v>https://leetcode.com/problems/valid-perfect-square/</x:v>
      </x:c>
      <x:c r="F214" t="str">
        <x:v>Not Started</x:v>
      </x:c>
      <x:c r="G214" s="36" t="n">
        <x:v>46337</x:v>
      </x:c>
      <x:c r="H214"/>
    </x:row>
    <x:row r="215">
      <x:c r="A215" t="n">
        <x:v>195</x:v>
      </x:c>
      <x:c r="B215" t="str">
        <x:v>Medium</x:v>
      </x:c>
      <x:c r="C215" t="n">
        <x:v>378</x:v>
      </x:c>
      <x:c r="D215" t="str">
        <x:v>Kth Smallest Element in a Sorted Matrix</x:v>
      </x:c>
      <x:c r="E215" t="str">
        <x:v>https://leetcode.com/problems/kth-smallest-element-in-a-sorted-matrix/</x:v>
      </x:c>
      <x:c r="F215" t="str">
        <x:v>Not Started</x:v>
      </x:c>
      <x:c r="G215" s="36" t="n">
        <x:v>46338</x:v>
      </x:c>
      <x:c r="H215"/>
    </x:row>
    <x:row r="216">
      <x:c r="A216" t="n">
        <x:v>196</x:v>
      </x:c>
      <x:c r="B216" t="str">
        <x:v>Hard</x:v>
      </x:c>
      <x:c r="C216" t="n">
        <x:v>410</x:v>
      </x:c>
      <x:c r="D216" t="str">
        <x:v>Split Array Largest Sum</x:v>
      </x:c>
      <x:c r="E216" t="str">
        <x:v>https://leetcode.com/problems/split-array-largest-sum/</x:v>
      </x:c>
      <x:c r="F216" t="str">
        <x:v>Not Started</x:v>
      </x:c>
      <x:c r="G216" s="36" t="n">
        <x:v>46338</x:v>
      </x:c>
      <x:c r="H216"/>
    </x:row>
    <x:row r="217">
      <x:c r="A217" t="n">
        <x:v>197</x:v>
      </x:c>
      <x:c r="B217" t="str">
        <x:v>Medium</x:v>
      </x:c>
      <x:c r="C217" t="n">
        <x:v>540</x:v>
      </x:c>
      <x:c r="D217" t="str">
        <x:v>Single Element in a Sorted Array</x:v>
      </x:c>
      <x:c r="E217" t="str">
        <x:v>https://leetcode.com/problems/single-element-in-a-sorted-array/</x:v>
      </x:c>
      <x:c r="F217" t="str">
        <x:v>Not Started</x:v>
      </x:c>
      <x:c r="G217" s="36" t="n">
        <x:v>46339</x:v>
      </x:c>
      <x:c r="H217"/>
    </x:row>
    <x:row r="218">
      <x:c r="A218" t="n">
        <x:v>198</x:v>
      </x:c>
      <x:c r="B218" t="str">
        <x:v>Medium</x:v>
      </x:c>
      <x:c r="C218" t="n">
        <x:v>658</x:v>
      </x:c>
      <x:c r="D218" t="str">
        <x:v>Find K Closest Elements</x:v>
      </x:c>
      <x:c r="E218" t="str">
        <x:v>https://leetcode.com/problems/find-k-closest-elements/</x:v>
      </x:c>
      <x:c r="F218" t="str">
        <x:v>Not Started</x:v>
      </x:c>
      <x:c r="G218" s="36" t="n">
        <x:v>46339</x:v>
      </x:c>
      <x:c r="H218"/>
    </x:row>
    <x:row r="219">
      <x:c r="A219" t="n">
        <x:v>199</x:v>
      </x:c>
      <x:c r="B219" t="str">
        <x:v>Hard</x:v>
      </x:c>
      <x:c r="C219" t="n">
        <x:v>668</x:v>
      </x:c>
      <x:c r="D219" t="str">
        <x:v>Kth Smallest Number in Multiplication Table</x:v>
      </x:c>
      <x:c r="E219" t="str">
        <x:v>https://leetcode.com/problems/kth-smallest-number-in-multiplication-table/</x:v>
      </x:c>
      <x:c r="F219" t="str">
        <x:v>Not Started</x:v>
      </x:c>
      <x:c r="G219" s="36" t="n">
        <x:v>46340</x:v>
      </x:c>
      <x:c r="H219"/>
    </x:row>
    <x:row r="220">
      <x:c r="A220" t="n">
        <x:v>200</x:v>
      </x:c>
      <x:c r="B220" t="str">
        <x:v>Easy</x:v>
      </x:c>
      <x:c r="C220" t="n">
        <x:v>744</x:v>
      </x:c>
      <x:c r="D220" t="str">
        <x:v>Find Smallest Letter Greater Than Target</x:v>
      </x:c>
      <x:c r="E220" t="str">
        <x:v>https://leetcode.com/problems/find-smallest-letter-greater-than-target/</x:v>
      </x:c>
      <x:c r="F220" t="str">
        <x:v>Not Started</x:v>
      </x:c>
      <x:c r="G220" s="36" t="n">
        <x:v>46340</x:v>
      </x:c>
      <x:c r="H220"/>
    </x:row>
    <x:row r="221">
      <x:c r="A221" t="n">
        <x:v>201</x:v>
      </x:c>
      <x:c r="B221" t="str">
        <x:v>Medium</x:v>
      </x:c>
      <x:c r="C221" t="n">
        <x:v>875</x:v>
      </x:c>
      <x:c r="D221" t="str">
        <x:v>Koko Eating Bananas</x:v>
      </x:c>
      <x:c r="E221" t="str">
        <x:v>https://leetcode.com/problems/koko-eating-bananas/</x:v>
      </x:c>
      <x:c r="F221" t="str">
        <x:v>Not Started</x:v>
      </x:c>
      <x:c r="G221" s="36" t="n">
        <x:v>46341</x:v>
      </x:c>
      <x:c r="H221"/>
    </x:row>
    <x:row r="222">
      <x:c r="A222" t="n">
        <x:v>202</x:v>
      </x:c>
      <x:c r="B222" t="str">
        <x:v>Medium</x:v>
      </x:c>
      <x:c r="C222" t="n">
        <x:v>1011</x:v>
      </x:c>
      <x:c r="D222" t="str">
        <x:v>Capacity To Ship Packages Within D Days</x:v>
      </x:c>
      <x:c r="E222" t="str">
        <x:v>https://leetcode.com/problems/capacity-to-ship-packages-within-d-days/</x:v>
      </x:c>
      <x:c r="F222" t="str">
        <x:v>Not Started</x:v>
      </x:c>
      <x:c r="G222" s="36" t="n">
        <x:v>46341</x:v>
      </x:c>
      <x:c r="H222"/>
    </x:row>
    <x:row r="223">
      <x:c r="A223" t="n">
        <x:v>203</x:v>
      </x:c>
      <x:c r="B223" t="str">
        <x:v>Medium</x:v>
      </x:c>
      <x:c r="C223" t="n">
        <x:v>1283</x:v>
      </x:c>
      <x:c r="D223" t="str">
        <x:v>Find the Smallest Divisor Given a Threshold</x:v>
      </x:c>
      <x:c r="E223" t="str">
        <x:v>https://leetcode.com/problems/find-the-smallest-divisor-given-a-threshold/</x:v>
      </x:c>
      <x:c r="F223" t="str">
        <x:v>Not Started</x:v>
      </x:c>
      <x:c r="G223" s="36" t="n">
        <x:v>46342</x:v>
      </x:c>
      <x:c r="H223"/>
    </x:row>
    <x:row r="224">
      <x:c r="A224" t="n">
        <x:v>204</x:v>
      </x:c>
      <x:c r="B224" t="str">
        <x:v>Medium</x:v>
      </x:c>
      <x:c r="C224" t="n">
        <x:v>1482</x:v>
      </x:c>
      <x:c r="D224" t="str">
        <x:v>Minimum Number of Days to Make m Bouquets</x:v>
      </x:c>
      <x:c r="E224" t="str">
        <x:v>https://leetcode.com/problems/minimum-number-of-days-to-make-m-bouquets/</x:v>
      </x:c>
      <x:c r="F224" t="str">
        <x:v>Not Started</x:v>
      </x:c>
      <x:c r="G224" s="36" t="n">
        <x:v>46342</x:v>
      </x:c>
      <x:c r="H224"/>
    </x:row>
    <x:row r="225">
      <x:c r="A225" t="n">
        <x:v>205</x:v>
      </x:c>
      <x:c r="B225" t="str">
        <x:v>Easy</x:v>
      </x:c>
      <x:c r="C225" t="n">
        <x:v>1539</x:v>
      </x:c>
      <x:c r="D225" t="str">
        <x:v>Kth Missing Positive Number</x:v>
      </x:c>
      <x:c r="E225" t="str">
        <x:v>https://leetcode.com/problems/kth-missing-positive-number/</x:v>
      </x:c>
      <x:c r="F225" t="str">
        <x:v>Not Started</x:v>
      </x:c>
      <x:c r="G225" s="36" t="n">
        <x:v>46343</x:v>
      </x:c>
      <x:c r="H225"/>
    </x:row>
    <x:row r="226">
      <x:c r="A226" t="n">
        <x:v>206</x:v>
      </x:c>
      <x:c r="B226" t="str">
        <x:v>Medium</x:v>
      </x:c>
      <x:c r="C226" t="n">
        <x:v>1552</x:v>
      </x:c>
      <x:c r="D226" t="str">
        <x:v>Magnetic Force Between Two Balls</x:v>
      </x:c>
      <x:c r="E226" t="str">
        <x:v>https://leetcode.com/problems/magnetic-force-between-two-balls/</x:v>
      </x:c>
      <x:c r="F226" t="str">
        <x:v>Not Started</x:v>
      </x:c>
      <x:c r="G226" s="36" t="n">
        <x:v>46343</x:v>
      </x:c>
      <x:c r="H226"/>
    </x:row>
    <x:row r="227">
      <x:c r="A227" t="n">
        <x:v>207</x:v>
      </x:c>
      <x:c r="B227" t="str">
        <x:v>Medium</x:v>
      </x:c>
      <x:c r="C227" t="n">
        <x:v>1760</x:v>
      </x:c>
      <x:c r="D227" t="str">
        <x:v>Minimum Limit of Balls in a Bag</x:v>
      </x:c>
      <x:c r="E227" t="str">
        <x:v>https://leetcode.com/problems/minimum-limit-of-balls-in-a-bag/</x:v>
      </x:c>
      <x:c r="F227" t="str">
        <x:v>Not Started</x:v>
      </x:c>
      <x:c r="G227" s="36" t="n">
        <x:v>46344</x:v>
      </x:c>
      <x:c r="H227"/>
    </x:row>
    <x:row r="228">
      <x:c r="A228" t="n">
        <x:v>208</x:v>
      </x:c>
      <x:c r="B228" t="str">
        <x:v>Medium</x:v>
      </x:c>
      <x:c r="C228" t="n">
        <x:v>1802</x:v>
      </x:c>
      <x:c r="D228" t="str">
        <x:v>Maximum Value at a Given Index in a Bounded Array</x:v>
      </x:c>
      <x:c r="E228" t="str">
        <x:v>https://leetcode.com/problems/maximum-value-at-a-given-index-in-a-bounded-array/</x:v>
      </x:c>
      <x:c r="F228" t="str">
        <x:v>Not Started</x:v>
      </x:c>
      <x:c r="G228" s="36" t="n">
        <x:v>46344</x:v>
      </x:c>
      <x:c r="H228"/>
    </x:row>
    <x:row r="229">
      <x:c r="A229" t="n">
        <x:v>209</x:v>
      </x:c>
      <x:c r="B229" t="str">
        <x:v>Medium</x:v>
      </x:c>
      <x:c r="C229" t="n">
        <x:v>2064</x:v>
      </x:c>
      <x:c r="D229" t="str">
        <x:v>Minimized Maximum of Products Distributed to Any Store</x:v>
      </x:c>
      <x:c r="E229" t="str">
        <x:v>https://leetcode.com/problems/minimized-maximum-of-products-distributed-to-any-store/</x:v>
      </x:c>
      <x:c r="F229" t="str">
        <x:v>Not Started</x:v>
      </x:c>
      <x:c r="G229" s="36" t="n">
        <x:v>46345</x:v>
      </x:c>
      <x:c r="H229"/>
    </x:row>
    <x:row r="230">
      <x:c r="A230" t="n">
        <x:v>210</x:v>
      </x:c>
      <x:c r="B230" t="str">
        <x:v>Medium</x:v>
      </x:c>
      <x:c r="C230" t="n">
        <x:v>2300</x:v>
      </x:c>
      <x:c r="D230" t="str">
        <x:v>Successful Pairs of Spells and Potions</x:v>
      </x:c>
      <x:c r="E230" t="str">
        <x:v>https://leetcode.com/problems/successful-pairs-of-spells-and-potions/</x:v>
      </x:c>
      <x:c r="F230" t="str">
        <x:v>Not Started</x:v>
      </x:c>
      <x:c r="G230" s="36" t="n">
        <x:v>46345</x:v>
      </x:c>
      <x:c r="H230"/>
    </x:row>
    <x:row r="231">
      <x:c r="A231" t="n">
        <x:v>211</x:v>
      </x:c>
      <x:c r="B231" t="str">
        <x:v>Easy</x:v>
      </x:c>
      <x:c r="C231" t="n">
        <x:v>2389</x:v>
      </x:c>
      <x:c r="D231" t="str">
        <x:v>Longest Subsequence With Limited Sum</x:v>
      </x:c>
      <x:c r="E231" t="str">
        <x:v>https://leetcode.com/problems/longest-subsequence-with-limited-sum/</x:v>
      </x:c>
      <x:c r="F231" t="str">
        <x:v>Not Started</x:v>
      </x:c>
      <x:c r="G231" s="36" t="n">
        <x:v>46346</x:v>
      </x:c>
      <x:c r="H231"/>
    </x:row>
    <x:row r="232">
      <x:c r="A232" t="n">
        <x:v>212</x:v>
      </x:c>
      <x:c r="B232" t="str">
        <x:v>Easy</x:v>
      </x:c>
      <x:c r="C232" t="n">
        <x:v>2529</x:v>
      </x:c>
      <x:c r="D232" t="str">
        <x:v>Maximum Count of Positive Integer and Negative Integer</x:v>
      </x:c>
      <x:c r="E232" t="str">
        <x:v>https://leetcode.com/problems/maximum-count-of-positive-integer-and-negative-integer/</x:v>
      </x:c>
      <x:c r="F232" t="str">
        <x:v>Not Started</x:v>
      </x:c>
      <x:c r="G232" s="36" t="n">
        <x:v>46346</x:v>
      </x:c>
      <x:c r="H232"/>
    </x:row>
    <x:row r="233">
      <x:c r="A233" t="n">
        <x:v>213</x:v>
      </x:c>
      <x:c r="B233" t="str">
        <x:v>Medium</x:v>
      </x:c>
      <x:c r="C233" t="n">
        <x:v>2563</x:v>
      </x:c>
      <x:c r="D233" t="str">
        <x:v>Count the Number of Fair Pairs</x:v>
      </x:c>
      <x:c r="E233" t="str">
        <x:v>https://leetcode.com/problems/count-the-number-of-fair-pairs/</x:v>
      </x:c>
      <x:c r="F233" t="str">
        <x:v>Not Started</x:v>
      </x:c>
      <x:c r="G233" s="36" t="n">
        <x:v>46347</x:v>
      </x:c>
      <x:c r="H233"/>
    </x:row>
    <x:row r="234">
      <x:c r="A234" t="n">
        <x:v>214</x:v>
      </x:c>
      <x:c r="B234" t="str">
        <x:v>Medium</x:v>
      </x:c>
      <x:c r="C234" t="n">
        <x:v>2594</x:v>
      </x:c>
      <x:c r="D234" t="str">
        <x:v>Minimum Time to Repair Cars</x:v>
      </x:c>
      <x:c r="E234" t="str">
        <x:v>https://leetcode.com/problems/minimum-time-to-repair-cars/</x:v>
      </x:c>
      <x:c r="F234" t="str">
        <x:v>Not Started</x:v>
      </x:c>
      <x:c r="G234" s="36" t="n">
        <x:v>46347</x:v>
      </x:c>
      <x:c r="H234"/>
    </x:row>
    <x:row r="235">
      <x:c r="A235" t="n">
        <x:v>215</x:v>
      </x:c>
      <x:c r="B235" t="str">
        <x:v>Hard</x:v>
      </x:c>
      <x:c r="C235" t="n">
        <x:v>4</x:v>
      </x:c>
      <x:c r="D235" t="str">
        <x:v>Median of Two Sorted Arrays</x:v>
      </x:c>
      <x:c r="E235" t="str">
        <x:v>https://leetcode.com/problems/median-of-two-sorted-arrays/</x:v>
      </x:c>
      <x:c r="F235" t="str">
        <x:v>Done</x:v>
      </x:c>
      <x:c r="G235" s="36"/>
      <x:c r="H235"/>
    </x:row>
    <x:row r="236">
      <x:c r="A236"/>
      <x:c r="B236"/>
      <x:c r="C236"/>
      <x:c r="D236"/>
      <x:c r="E236"/>
      <x:c r="F236"/>
      <x:c r="G236"/>
      <x:c r="H236"/>
    </x:row>
    <x:row r="237">
      <x:c r="A237"/>
      <x:c r="B237"/>
      <x:c r="C237"/>
      <x:c r="D237"/>
      <x:c r="E237"/>
      <x:c r="F237"/>
      <x:c r="G237"/>
      <x:c r="H237"/>
    </x:row>
    <x:row r="238">
      <x:c r="A238" s="220" t="str">
        <x:v>Trees / BST  —  45 problems</x:v>
      </x:c>
      <x:c r="B238" s="220"/>
      <x:c r="C238" s="220"/>
      <x:c r="D238" s="220"/>
      <x:c r="E238" s="220"/>
      <x:c r="F238" s="220"/>
      <x:c r="G238" s="220"/>
      <x:c r="H238" s="220"/>
    </x:row>
    <x:row r="239">
      <x:c r="A239" s="224" t="str">
        <x:v>Seq</x:v>
      </x:c>
      <x:c r="B239" s="224" t="str">
        <x:v>Difficulty</x:v>
      </x:c>
      <x:c r="C239" s="224" t="str">
        <x:v>LC ID</x:v>
      </x:c>
      <x:c r="D239" s="224" t="str">
        <x:v>Problem Title</x:v>
      </x:c>
      <x:c r="E239" s="224" t="str">
        <x:v>Problem URL</x:v>
      </x:c>
      <x:c r="F239" s="224" t="str">
        <x:v>Status</x:v>
      </x:c>
      <x:c r="G239" s="224" t="str">
        <x:v>Planned Date</x:v>
      </x:c>
      <x:c r="H239" s="224" t="str">
        <x:v>Notes</x:v>
      </x:c>
    </x:row>
    <x:row r="240">
      <x:c r="A240" t="n">
        <x:v>216</x:v>
      </x:c>
      <x:c r="B240" t="str">
        <x:v>Easy</x:v>
      </x:c>
      <x:c r="C240" t="n">
        <x:v>94</x:v>
      </x:c>
      <x:c r="D240" t="str">
        <x:v>Binary Tree Inorder Traversal</x:v>
      </x:c>
      <x:c r="E240" t="str">
        <x:v>https://leetcode.com/problems/binary-tree-inorder-traversal/</x:v>
      </x:c>
      <x:c r="F240" t="str">
        <x:v>Not Started</x:v>
      </x:c>
      <x:c r="G240" s="36" t="n">
        <x:v>46348</x:v>
      </x:c>
      <x:c r="H240"/>
    </x:row>
    <x:row r="241">
      <x:c r="A241" t="n">
        <x:v>217</x:v>
      </x:c>
      <x:c r="B241" t="str">
        <x:v>Easy</x:v>
      </x:c>
      <x:c r="C241" t="n">
        <x:v>100</x:v>
      </x:c>
      <x:c r="D241" t="str">
        <x:v>Same Tree</x:v>
      </x:c>
      <x:c r="E241" t="str">
        <x:v>https://leetcode.com/problems/same-tree/</x:v>
      </x:c>
      <x:c r="F241" t="str">
        <x:v>Not Started</x:v>
      </x:c>
      <x:c r="G241" s="36" t="n">
        <x:v>46348</x:v>
      </x:c>
      <x:c r="H241"/>
    </x:row>
    <x:row r="242">
      <x:c r="A242" t="n">
        <x:v>218</x:v>
      </x:c>
      <x:c r="B242" t="str">
        <x:v>Easy</x:v>
      </x:c>
      <x:c r="C242" t="n">
        <x:v>101</x:v>
      </x:c>
      <x:c r="D242" t="str">
        <x:v>Symmetric Tree</x:v>
      </x:c>
      <x:c r="E242" t="str">
        <x:v>https://leetcode.com/problems/symmetric-tree/</x:v>
      </x:c>
      <x:c r="F242" t="str">
        <x:v>Not Started</x:v>
      </x:c>
      <x:c r="G242" s="36" t="n">
        <x:v>46349</x:v>
      </x:c>
      <x:c r="H242"/>
    </x:row>
    <x:row r="243">
      <x:c r="A243" t="n">
        <x:v>219</x:v>
      </x:c>
      <x:c r="B243" t="str">
        <x:v>Easy</x:v>
      </x:c>
      <x:c r="C243" t="n">
        <x:v>104</x:v>
      </x:c>
      <x:c r="D243" t="str">
        <x:v>Maximum Depth of Binary Tree</x:v>
      </x:c>
      <x:c r="E243" t="str">
        <x:v>https://leetcode.com/problems/maximum-depth-of-binary-tree/</x:v>
      </x:c>
      <x:c r="F243" t="str">
        <x:v>Not Started</x:v>
      </x:c>
      <x:c r="G243" s="36" t="n">
        <x:v>46349</x:v>
      </x:c>
      <x:c r="H243"/>
    </x:row>
    <x:row r="244">
      <x:c r="A244" t="n">
        <x:v>220</x:v>
      </x:c>
      <x:c r="B244" t="str">
        <x:v>Easy</x:v>
      </x:c>
      <x:c r="C244" t="n">
        <x:v>110</x:v>
      </x:c>
      <x:c r="D244" t="str">
        <x:v>Balanced Binary Tree</x:v>
      </x:c>
      <x:c r="E244" t="str">
        <x:v>https://leetcode.com/problems/balanced-binary-tree/</x:v>
      </x:c>
      <x:c r="F244" t="str">
        <x:v>Not Started</x:v>
      </x:c>
      <x:c r="G244" s="36" t="n">
        <x:v>46350</x:v>
      </x:c>
      <x:c r="H244"/>
    </x:row>
    <x:row r="245">
      <x:c r="A245" t="n">
        <x:v>221</x:v>
      </x:c>
      <x:c r="B245" t="str">
        <x:v>Easy</x:v>
      </x:c>
      <x:c r="C245" t="n">
        <x:v>111</x:v>
      </x:c>
      <x:c r="D245" t="str">
        <x:v>Minimum Depth of Binary Tree</x:v>
      </x:c>
      <x:c r="E245" t="str">
        <x:v>https://leetcode.com/problems/minimum-depth-of-binary-tree/</x:v>
      </x:c>
      <x:c r="F245" t="str">
        <x:v>Not Started</x:v>
      </x:c>
      <x:c r="G245" s="36" t="n">
        <x:v>46350</x:v>
      </x:c>
      <x:c r="H245"/>
    </x:row>
    <x:row r="246">
      <x:c r="A246" t="n">
        <x:v>222</x:v>
      </x:c>
      <x:c r="B246" t="str">
        <x:v>Easy</x:v>
      </x:c>
      <x:c r="C246" t="n">
        <x:v>112</x:v>
      </x:c>
      <x:c r="D246" t="str">
        <x:v>Path Sum</x:v>
      </x:c>
      <x:c r="E246" t="str">
        <x:v>https://leetcode.com/problems/path-sum/</x:v>
      </x:c>
      <x:c r="F246" t="str">
        <x:v>Not Started</x:v>
      </x:c>
      <x:c r="G246" s="36" t="n">
        <x:v>46351</x:v>
      </x:c>
      <x:c r="H246"/>
    </x:row>
    <x:row r="247">
      <x:c r="A247" t="n">
        <x:v>223</x:v>
      </x:c>
      <x:c r="B247" t="str">
        <x:v>Easy</x:v>
      </x:c>
      <x:c r="C247" t="n">
        <x:v>144</x:v>
      </x:c>
      <x:c r="D247" t="str">
        <x:v>Binary Tree Preorder Traversal</x:v>
      </x:c>
      <x:c r="E247" t="str">
        <x:v>https://leetcode.com/problems/binary-tree-preorder-traversal/</x:v>
      </x:c>
      <x:c r="F247" t="str">
        <x:v>Not Started</x:v>
      </x:c>
      <x:c r="G247" s="36" t="n">
        <x:v>46351</x:v>
      </x:c>
      <x:c r="H247"/>
    </x:row>
    <x:row r="248">
      <x:c r="A248" t="n">
        <x:v>224</x:v>
      </x:c>
      <x:c r="B248" t="str">
        <x:v>Easy</x:v>
      </x:c>
      <x:c r="C248" t="n">
        <x:v>145</x:v>
      </x:c>
      <x:c r="D248" t="str">
        <x:v>Binary Tree Postorder Traversal</x:v>
      </x:c>
      <x:c r="E248" t="str">
        <x:v>https://leetcode.com/problems/binary-tree-postorder-traversal/</x:v>
      </x:c>
      <x:c r="F248" t="str">
        <x:v>Not Started</x:v>
      </x:c>
      <x:c r="G248" s="36" t="n">
        <x:v>46352</x:v>
      </x:c>
      <x:c r="H248"/>
    </x:row>
    <x:row r="249">
      <x:c r="A249" t="n">
        <x:v>225</x:v>
      </x:c>
      <x:c r="B249" t="str">
        <x:v>Easy</x:v>
      </x:c>
      <x:c r="C249" t="n">
        <x:v>226</x:v>
      </x:c>
      <x:c r="D249" t="str">
        <x:v>Invert Binary Tree</x:v>
      </x:c>
      <x:c r="E249" t="str">
        <x:v>https://leetcode.com/problems/invert-binary-tree/</x:v>
      </x:c>
      <x:c r="F249" t="str">
        <x:v>Not Started</x:v>
      </x:c>
      <x:c r="G249" s="36" t="n">
        <x:v>46352</x:v>
      </x:c>
      <x:c r="H249"/>
    </x:row>
    <x:row r="250">
      <x:c r="A250" t="n">
        <x:v>226</x:v>
      </x:c>
      <x:c r="B250" t="str">
        <x:v>Easy</x:v>
      </x:c>
      <x:c r="C250" t="n">
        <x:v>257</x:v>
      </x:c>
      <x:c r="D250" t="str">
        <x:v>Binary Tree Paths</x:v>
      </x:c>
      <x:c r="E250" t="str">
        <x:v>https://leetcode.com/problems/binary-tree-paths/</x:v>
      </x:c>
      <x:c r="F250" t="str">
        <x:v>Not Started</x:v>
      </x:c>
      <x:c r="G250" s="36" t="n">
        <x:v>46353</x:v>
      </x:c>
      <x:c r="H250"/>
    </x:row>
    <x:row r="251">
      <x:c r="A251" t="n">
        <x:v>227</x:v>
      </x:c>
      <x:c r="B251" t="str">
        <x:v>Easy</x:v>
      </x:c>
      <x:c r="C251" t="n">
        <x:v>404</x:v>
      </x:c>
      <x:c r="D251" t="str">
        <x:v>Sum of Left Leaves</x:v>
      </x:c>
      <x:c r="E251" t="str">
        <x:v>https://leetcode.com/problems/sum-of-left-leaves/</x:v>
      </x:c>
      <x:c r="F251" t="str">
        <x:v>Not Started</x:v>
      </x:c>
      <x:c r="G251" s="36" t="n">
        <x:v>46353</x:v>
      </x:c>
      <x:c r="H251"/>
    </x:row>
    <x:row r="252">
      <x:c r="A252" t="n">
        <x:v>228</x:v>
      </x:c>
      <x:c r="B252" t="str">
        <x:v>Easy</x:v>
      </x:c>
      <x:c r="C252" t="n">
        <x:v>501</x:v>
      </x:c>
      <x:c r="D252" t="str">
        <x:v>Find Mode in Binary Search Tree</x:v>
      </x:c>
      <x:c r="E252" t="str">
        <x:v>https://leetcode.com/problems/find-mode-in-binary-search-tree/</x:v>
      </x:c>
      <x:c r="F252" t="str">
        <x:v>Not Started</x:v>
      </x:c>
      <x:c r="G252" s="36" t="n">
        <x:v>46354</x:v>
      </x:c>
      <x:c r="H252"/>
    </x:row>
    <x:row r="253">
      <x:c r="A253" t="n">
        <x:v>229</x:v>
      </x:c>
      <x:c r="B253" t="str">
        <x:v>Easy</x:v>
      </x:c>
      <x:c r="C253" t="n">
        <x:v>530</x:v>
      </x:c>
      <x:c r="D253" t="str">
        <x:v>Minimum Absolute Difference in BST</x:v>
      </x:c>
      <x:c r="E253" t="str">
        <x:v>https://leetcode.com/problems/minimum-absolute-difference-in-bst/</x:v>
      </x:c>
      <x:c r="F253" t="str">
        <x:v>Not Started</x:v>
      </x:c>
      <x:c r="G253" s="36" t="n">
        <x:v>46354</x:v>
      </x:c>
      <x:c r="H253"/>
    </x:row>
    <x:row r="254">
      <x:c r="A254" t="n">
        <x:v>230</x:v>
      </x:c>
      <x:c r="B254" t="str">
        <x:v>Easy</x:v>
      </x:c>
      <x:c r="C254" t="n">
        <x:v>543</x:v>
      </x:c>
      <x:c r="D254" t="str">
        <x:v>Diameter of Binary Tree</x:v>
      </x:c>
      <x:c r="E254" t="str">
        <x:v>https://leetcode.com/problems/diameter-of-binary-tree/</x:v>
      </x:c>
      <x:c r="F254" t="str">
        <x:v>Not Started</x:v>
      </x:c>
      <x:c r="G254" s="36" t="n">
        <x:v>46355</x:v>
      </x:c>
      <x:c r="H254"/>
    </x:row>
    <x:row r="255">
      <x:c r="A255" t="n">
        <x:v>231</x:v>
      </x:c>
      <x:c r="B255" t="str">
        <x:v>Easy</x:v>
      </x:c>
      <x:c r="C255" t="n">
        <x:v>572</x:v>
      </x:c>
      <x:c r="D255" t="str">
        <x:v>Subtree of Another Tree</x:v>
      </x:c>
      <x:c r="E255" t="str">
        <x:v>https://leetcode.com/problems/subtree-of-another-tree/</x:v>
      </x:c>
      <x:c r="F255" t="str">
        <x:v>Not Started</x:v>
      </x:c>
      <x:c r="G255" s="36" t="n">
        <x:v>46355</x:v>
      </x:c>
      <x:c r="H255"/>
    </x:row>
    <x:row r="256">
      <x:c r="A256" t="n">
        <x:v>232</x:v>
      </x:c>
      <x:c r="B256" t="str">
        <x:v>Easy</x:v>
      </x:c>
      <x:c r="C256" t="n">
        <x:v>617</x:v>
      </x:c>
      <x:c r="D256" t="str">
        <x:v>Merge Two Binary Trees</x:v>
      </x:c>
      <x:c r="E256" t="str">
        <x:v>https://leetcode.com/problems/merge-two-binary-trees/</x:v>
      </x:c>
      <x:c r="F256" t="str">
        <x:v>Not Started</x:v>
      </x:c>
      <x:c r="G256" s="36" t="n">
        <x:v>46356</x:v>
      </x:c>
      <x:c r="H256"/>
    </x:row>
    <x:row r="257">
      <x:c r="A257" t="n">
        <x:v>233</x:v>
      </x:c>
      <x:c r="B257" t="str">
        <x:v>Easy</x:v>
      </x:c>
      <x:c r="C257" t="n">
        <x:v>637</x:v>
      </x:c>
      <x:c r="D257" t="str">
        <x:v>Average of Levels in Binary Tree</x:v>
      </x:c>
      <x:c r="E257" t="str">
        <x:v>https://leetcode.com/problems/average-of-levels-in-binary-tree/</x:v>
      </x:c>
      <x:c r="F257" t="str">
        <x:v>Not Started</x:v>
      </x:c>
      <x:c r="G257" s="36" t="n">
        <x:v>46356</x:v>
      </x:c>
      <x:c r="H257"/>
    </x:row>
    <x:row r="258">
      <x:c r="A258" t="n">
        <x:v>234</x:v>
      </x:c>
      <x:c r="B258" t="str">
        <x:v>Easy</x:v>
      </x:c>
      <x:c r="C258" t="n">
        <x:v>700</x:v>
      </x:c>
      <x:c r="D258" t="str">
        <x:v>Search in a Binary Search Tree</x:v>
      </x:c>
      <x:c r="E258" t="str">
        <x:v>https://leetcode.com/problems/search-in-a-binary-search-tree/</x:v>
      </x:c>
      <x:c r="F258" t="str">
        <x:v>Not Started</x:v>
      </x:c>
      <x:c r="G258" s="36" t="n">
        <x:v>46357</x:v>
      </x:c>
      <x:c r="H258"/>
    </x:row>
    <x:row r="259">
      <x:c r="A259" t="n">
        <x:v>235</x:v>
      </x:c>
      <x:c r="B259" t="str">
        <x:v>Medium</x:v>
      </x:c>
      <x:c r="C259" t="n">
        <x:v>701</x:v>
      </x:c>
      <x:c r="D259" t="str">
        <x:v>Insert into a Binary Search Tree</x:v>
      </x:c>
      <x:c r="E259" t="str">
        <x:v>https://leetcode.com/problems/insert-into-a-binary-search-tree/</x:v>
      </x:c>
      <x:c r="F259" t="str">
        <x:v>Not Started</x:v>
      </x:c>
      <x:c r="G259" s="36" t="n">
        <x:v>46357</x:v>
      </x:c>
      <x:c r="H259"/>
    </x:row>
    <x:row r="260">
      <x:c r="A260" t="n">
        <x:v>236</x:v>
      </x:c>
      <x:c r="B260" t="str">
        <x:v>Medium</x:v>
      </x:c>
      <x:c r="C260" t="n">
        <x:v>98</x:v>
      </x:c>
      <x:c r="D260" t="str">
        <x:v>Validate Binary Search Tree</x:v>
      </x:c>
      <x:c r="E260" t="str">
        <x:v>https://leetcode.com/problems/validate-binary-search-tree/</x:v>
      </x:c>
      <x:c r="F260" t="str">
        <x:v>Not Started</x:v>
      </x:c>
      <x:c r="G260" s="36" t="n">
        <x:v>46358</x:v>
      </x:c>
      <x:c r="H260"/>
    </x:row>
    <x:row r="261">
      <x:c r="A261" t="n">
        <x:v>237</x:v>
      </x:c>
      <x:c r="B261" t="str">
        <x:v>Medium</x:v>
      </x:c>
      <x:c r="C261" t="n">
        <x:v>102</x:v>
      </x:c>
      <x:c r="D261" t="str">
        <x:v>Binary Tree Level Order Traversal</x:v>
      </x:c>
      <x:c r="E261" t="str">
        <x:v>https://leetcode.com/problems/binary-tree-level-order-traversal/</x:v>
      </x:c>
      <x:c r="F261" t="str">
        <x:v>Not Started</x:v>
      </x:c>
      <x:c r="G261" s="36" t="n">
        <x:v>46358</x:v>
      </x:c>
      <x:c r="H261"/>
    </x:row>
    <x:row r="262">
      <x:c r="A262" t="n">
        <x:v>238</x:v>
      </x:c>
      <x:c r="B262" t="str">
        <x:v>Medium</x:v>
      </x:c>
      <x:c r="C262" t="n">
        <x:v>103</x:v>
      </x:c>
      <x:c r="D262" t="str">
        <x:v>Binary Tree Zigzag Level Order Traversal</x:v>
      </x:c>
      <x:c r="E262" t="str">
        <x:v>https://leetcode.com/problems/binary-tree-zigzag-level-order-traversal/</x:v>
      </x:c>
      <x:c r="F262" t="str">
        <x:v>Not Started</x:v>
      </x:c>
      <x:c r="G262" s="36" t="n">
        <x:v>46359</x:v>
      </x:c>
      <x:c r="H262"/>
    </x:row>
    <x:row r="263">
      <x:c r="A263" t="n">
        <x:v>239</x:v>
      </x:c>
      <x:c r="B263" t="str">
        <x:v>Medium</x:v>
      </x:c>
      <x:c r="C263" t="n">
        <x:v>105</x:v>
      </x:c>
      <x:c r="D263" t="str">
        <x:v>Construct Binary Tree from Preorder and Inorder Traversal</x:v>
      </x:c>
      <x:c r="E263" t="str">
        <x:v>https://leetcode.com/problems/construct-binary-tree-from-preorder-and-inorder-traversal/</x:v>
      </x:c>
      <x:c r="F263" t="str">
        <x:v>Not Started</x:v>
      </x:c>
      <x:c r="G263" s="36" t="n">
        <x:v>46359</x:v>
      </x:c>
      <x:c r="H263"/>
    </x:row>
    <x:row r="264">
      <x:c r="A264" t="n">
        <x:v>240</x:v>
      </x:c>
      <x:c r="B264" t="str">
        <x:v>Medium</x:v>
      </x:c>
      <x:c r="C264" t="n">
        <x:v>106</x:v>
      </x:c>
      <x:c r="D264" t="str">
        <x:v>Construct Binary Tree from Inorder and Postorder Traversal</x:v>
      </x:c>
      <x:c r="E264" t="str">
        <x:v>https://leetcode.com/problems/construct-binary-tree-from-inorder-and-postorder-traversal/</x:v>
      </x:c>
      <x:c r="F264" t="str">
        <x:v>Not Started</x:v>
      </x:c>
      <x:c r="G264" s="36" t="n">
        <x:v>46360</x:v>
      </x:c>
      <x:c r="H264"/>
    </x:row>
    <x:row r="265">
      <x:c r="A265" t="n">
        <x:v>241</x:v>
      </x:c>
      <x:c r="B265" t="str">
        <x:v>Medium</x:v>
      </x:c>
      <x:c r="C265" t="n">
        <x:v>107</x:v>
      </x:c>
      <x:c r="D265" t="str">
        <x:v>Binary Tree Level Order Traversal II</x:v>
      </x:c>
      <x:c r="E265" t="str">
        <x:v>https://leetcode.com/problems/binary-tree-level-order-traversal-ii/</x:v>
      </x:c>
      <x:c r="F265" t="str">
        <x:v>Not Started</x:v>
      </x:c>
      <x:c r="G265" s="36" t="n">
        <x:v>46360</x:v>
      </x:c>
      <x:c r="H265"/>
    </x:row>
    <x:row r="266">
      <x:c r="A266" t="n">
        <x:v>242</x:v>
      </x:c>
      <x:c r="B266" t="str">
        <x:v>Medium</x:v>
      </x:c>
      <x:c r="C266" t="n">
        <x:v>114</x:v>
      </x:c>
      <x:c r="D266" t="str">
        <x:v>Flatten Binary Tree to Linked List</x:v>
      </x:c>
      <x:c r="E266" t="str">
        <x:v>https://leetcode.com/problems/flatten-binary-tree-to-linked-list/</x:v>
      </x:c>
      <x:c r="F266" t="str">
        <x:v>Not Started</x:v>
      </x:c>
      <x:c r="G266" s="36" t="n">
        <x:v>46361</x:v>
      </x:c>
      <x:c r="H266"/>
    </x:row>
    <x:row r="267">
      <x:c r="A267" t="n">
        <x:v>243</x:v>
      </x:c>
      <x:c r="B267" t="str">
        <x:v>Medium</x:v>
      </x:c>
      <x:c r="C267" t="n">
        <x:v>116</x:v>
      </x:c>
      <x:c r="D267" t="str">
        <x:v>Populating Next Right Pointers in Each Node</x:v>
      </x:c>
      <x:c r="E267" t="str">
        <x:v>https://leetcode.com/problems/populating-next-right-pointers-in-each-node/</x:v>
      </x:c>
      <x:c r="F267" t="str">
        <x:v>Not Started</x:v>
      </x:c>
      <x:c r="G267" s="36" t="n">
        <x:v>46361</x:v>
      </x:c>
      <x:c r="H267"/>
    </x:row>
    <x:row r="268">
      <x:c r="A268" t="n">
        <x:v>244</x:v>
      </x:c>
      <x:c r="B268" t="str">
        <x:v>Medium</x:v>
      </x:c>
      <x:c r="C268" t="n">
        <x:v>117</x:v>
      </x:c>
      <x:c r="D268" t="str">
        <x:v>Populating Next Right Pointers in Each Node II</x:v>
      </x:c>
      <x:c r="E268" t="str">
        <x:v>https://leetcode.com/problems/populating-next-right-pointers-in-each-node-ii/</x:v>
      </x:c>
      <x:c r="F268" t="str">
        <x:v>Not Started</x:v>
      </x:c>
      <x:c r="G268" s="36" t="n">
        <x:v>46362</x:v>
      </x:c>
      <x:c r="H268"/>
    </x:row>
    <x:row r="269">
      <x:c r="A269" t="n">
        <x:v>245</x:v>
      </x:c>
      <x:c r="B269" t="str">
        <x:v>Medium</x:v>
      </x:c>
      <x:c r="C269" t="n">
        <x:v>129</x:v>
      </x:c>
      <x:c r="D269" t="str">
        <x:v>Sum Root to Leaf Numbers</x:v>
      </x:c>
      <x:c r="E269" t="str">
        <x:v>https://leetcode.com/problems/sum-root-to-leaf-numbers/</x:v>
      </x:c>
      <x:c r="F269" t="str">
        <x:v>Not Started</x:v>
      </x:c>
      <x:c r="G269" s="36" t="n">
        <x:v>46362</x:v>
      </x:c>
      <x:c r="H269"/>
    </x:row>
    <x:row r="270">
      <x:c r="A270" t="n">
        <x:v>246</x:v>
      </x:c>
      <x:c r="B270" t="str">
        <x:v>Medium</x:v>
      </x:c>
      <x:c r="C270" t="n">
        <x:v>173</x:v>
      </x:c>
      <x:c r="D270" t="str">
        <x:v>Binary Search Tree Iterator</x:v>
      </x:c>
      <x:c r="E270" t="str">
        <x:v>https://leetcode.com/problems/binary-search-tree-iterator/</x:v>
      </x:c>
      <x:c r="F270" t="str">
        <x:v>Not Started</x:v>
      </x:c>
      <x:c r="G270" s="36" t="n">
        <x:v>46363</x:v>
      </x:c>
      <x:c r="H270"/>
    </x:row>
    <x:row r="271">
      <x:c r="A271" t="n">
        <x:v>247</x:v>
      </x:c>
      <x:c r="B271" t="str">
        <x:v>Medium</x:v>
      </x:c>
      <x:c r="C271" t="n">
        <x:v>199</x:v>
      </x:c>
      <x:c r="D271" t="str">
        <x:v>Binary Tree Right Side View</x:v>
      </x:c>
      <x:c r="E271" t="str">
        <x:v>https://leetcode.com/problems/binary-tree-right-side-view/</x:v>
      </x:c>
      <x:c r="F271" t="str">
        <x:v>Not Started</x:v>
      </x:c>
      <x:c r="G271" s="36" t="n">
        <x:v>46363</x:v>
      </x:c>
      <x:c r="H271"/>
    </x:row>
    <x:row r="272">
      <x:c r="A272" t="n">
        <x:v>248</x:v>
      </x:c>
      <x:c r="B272" t="str">
        <x:v>Medium</x:v>
      </x:c>
      <x:c r="C272" t="n">
        <x:v>230</x:v>
      </x:c>
      <x:c r="D272" t="str">
        <x:v>Kth Smallest Element in a BST</x:v>
      </x:c>
      <x:c r="E272" t="str">
        <x:v>https://leetcode.com/problems/kth-smallest-element-in-a-bst/</x:v>
      </x:c>
      <x:c r="F272" t="str">
        <x:v>Not Started</x:v>
      </x:c>
      <x:c r="G272" s="36" t="n">
        <x:v>46364</x:v>
      </x:c>
      <x:c r="H272"/>
    </x:row>
    <x:row r="273">
      <x:c r="A273" t="n">
        <x:v>249</x:v>
      </x:c>
      <x:c r="B273" t="str">
        <x:v>Medium</x:v>
      </x:c>
      <x:c r="C273" t="n">
        <x:v>235</x:v>
      </x:c>
      <x:c r="D273" t="str">
        <x:v>Lowest Common Ancestor of a Binary Search Tree</x:v>
      </x:c>
      <x:c r="E273" t="str">
        <x:v>https://leetcode.com/problems/lowest-common-ancestor-of-a-binary-search-tree/</x:v>
      </x:c>
      <x:c r="F273" t="str">
        <x:v>Not Started</x:v>
      </x:c>
      <x:c r="G273" s="36" t="n">
        <x:v>46364</x:v>
      </x:c>
      <x:c r="H273"/>
    </x:row>
    <x:row r="274">
      <x:c r="A274" t="n">
        <x:v>250</x:v>
      </x:c>
      <x:c r="B274" t="str">
        <x:v>Medium</x:v>
      </x:c>
      <x:c r="C274" t="n">
        <x:v>236</x:v>
      </x:c>
      <x:c r="D274" t="str">
        <x:v>Lowest Common Ancestor of a Binary Tree</x:v>
      </x:c>
      <x:c r="E274" t="str">
        <x:v>https://leetcode.com/problems/lowest-common-ancestor-of-a-binary-tree/</x:v>
      </x:c>
      <x:c r="F274" t="str">
        <x:v>Not Started</x:v>
      </x:c>
      <x:c r="G274" s="36" t="n">
        <x:v>46365</x:v>
      </x:c>
      <x:c r="H274"/>
    </x:row>
    <x:row r="275">
      <x:c r="A275" t="n">
        <x:v>251</x:v>
      </x:c>
      <x:c r="B275" t="str">
        <x:v>Medium</x:v>
      </x:c>
      <x:c r="C275" t="n">
        <x:v>437</x:v>
      </x:c>
      <x:c r="D275" t="str">
        <x:v>Path Sum III</x:v>
      </x:c>
      <x:c r="E275" t="str">
        <x:v>https://leetcode.com/problems/path-sum-iii/</x:v>
      </x:c>
      <x:c r="F275" t="str">
        <x:v>Not Started</x:v>
      </x:c>
      <x:c r="G275" s="36" t="n">
        <x:v>46365</x:v>
      </x:c>
      <x:c r="H275"/>
    </x:row>
    <x:row r="276">
      <x:c r="A276" t="n">
        <x:v>252</x:v>
      </x:c>
      <x:c r="B276" t="str">
        <x:v>Medium</x:v>
      </x:c>
      <x:c r="C276" t="n">
        <x:v>450</x:v>
      </x:c>
      <x:c r="D276" t="str">
        <x:v>Delete Node in a BST</x:v>
      </x:c>
      <x:c r="E276" t="str">
        <x:v>https://leetcode.com/problems/delete-node-in-a-bst/</x:v>
      </x:c>
      <x:c r="F276" t="str">
        <x:v>Not Started</x:v>
      </x:c>
      <x:c r="G276" s="36" t="n">
        <x:v>46366</x:v>
      </x:c>
      <x:c r="H276"/>
    </x:row>
    <x:row r="277">
      <x:c r="A277" t="n">
        <x:v>253</x:v>
      </x:c>
      <x:c r="B277" t="str">
        <x:v>Medium</x:v>
      </x:c>
      <x:c r="C277" t="n">
        <x:v>513</x:v>
      </x:c>
      <x:c r="D277" t="str">
        <x:v>Find Bottom Left Tree Value</x:v>
      </x:c>
      <x:c r="E277" t="str">
        <x:v>https://leetcode.com/problems/find-bottom-left-tree-value/</x:v>
      </x:c>
      <x:c r="F277" t="str">
        <x:v>Not Started</x:v>
      </x:c>
      <x:c r="G277" s="36" t="n">
        <x:v>46366</x:v>
      </x:c>
      <x:c r="H277"/>
    </x:row>
    <x:row r="278">
      <x:c r="A278" t="n">
        <x:v>254</x:v>
      </x:c>
      <x:c r="B278" t="str">
        <x:v>Medium</x:v>
      </x:c>
      <x:c r="C278" t="n">
        <x:v>515</x:v>
      </x:c>
      <x:c r="D278" t="str">
        <x:v>Find Largest Value in Each Tree Row</x:v>
      </x:c>
      <x:c r="E278" t="str">
        <x:v>https://leetcode.com/problems/find-largest-value-in-each-tree-row/</x:v>
      </x:c>
      <x:c r="F278" t="str">
        <x:v>Not Started</x:v>
      </x:c>
      <x:c r="G278" s="36" t="n">
        <x:v>46367</x:v>
      </x:c>
      <x:c r="H278"/>
    </x:row>
    <x:row r="279">
      <x:c r="A279" t="n">
        <x:v>255</x:v>
      </x:c>
      <x:c r="B279" t="str">
        <x:v>Medium</x:v>
      </x:c>
      <x:c r="C279" t="n">
        <x:v>538</x:v>
      </x:c>
      <x:c r="D279" t="str">
        <x:v>Convert BST to Greater Tree</x:v>
      </x:c>
      <x:c r="E279" t="str">
        <x:v>https://leetcode.com/problems/convert-bst-to-greater-tree/</x:v>
      </x:c>
      <x:c r="F279" t="str">
        <x:v>Not Started</x:v>
      </x:c>
      <x:c r="G279" s="36" t="n">
        <x:v>46367</x:v>
      </x:c>
      <x:c r="H279"/>
    </x:row>
    <x:row r="280">
      <x:c r="A280" t="n">
        <x:v>256</x:v>
      </x:c>
      <x:c r="B280" t="str">
        <x:v>Medium</x:v>
      </x:c>
      <x:c r="C280" t="n">
        <x:v>662</x:v>
      </x:c>
      <x:c r="D280" t="str">
        <x:v>Maximum Width of Binary Tree</x:v>
      </x:c>
      <x:c r="E280" t="str">
        <x:v>https://leetcode.com/problems/maximum-width-of-binary-tree/</x:v>
      </x:c>
      <x:c r="F280" t="str">
        <x:v>Not Started</x:v>
      </x:c>
      <x:c r="G280" s="36" t="n">
        <x:v>46368</x:v>
      </x:c>
      <x:c r="H280"/>
    </x:row>
    <x:row r="281">
      <x:c r="A281" t="n">
        <x:v>257</x:v>
      </x:c>
      <x:c r="B281" t="str">
        <x:v>Medium</x:v>
      </x:c>
      <x:c r="C281" t="n">
        <x:v>863</x:v>
      </x:c>
      <x:c r="D281" t="str">
        <x:v>All Nodes Distance K in Binary Tree</x:v>
      </x:c>
      <x:c r="E281" t="str">
        <x:v>https://leetcode.com/problems/all-nodes-distance-k-in-binary-tree/</x:v>
      </x:c>
      <x:c r="F281" t="str">
        <x:v>Not Started</x:v>
      </x:c>
      <x:c r="G281" s="36" t="n">
        <x:v>46368</x:v>
      </x:c>
      <x:c r="H281"/>
    </x:row>
    <x:row r="282">
      <x:c r="A282" t="n">
        <x:v>258</x:v>
      </x:c>
      <x:c r="B282" t="str">
        <x:v>Medium</x:v>
      </x:c>
      <x:c r="C282" t="n">
        <x:v>889</x:v>
      </x:c>
      <x:c r="D282" t="str">
        <x:v>Construct Binary Tree from Preorder and Postorder Traversal</x:v>
      </x:c>
      <x:c r="E282" t="str">
        <x:v>https://leetcode.com/problems/construct-binary-tree-from-preorder-and-postorder-traversal/</x:v>
      </x:c>
      <x:c r="F282" t="str">
        <x:v>Not Started</x:v>
      </x:c>
      <x:c r="G282" s="36" t="n">
        <x:v>46369</x:v>
      </x:c>
      <x:c r="H282"/>
    </x:row>
    <x:row r="283">
      <x:c r="A283" t="n">
        <x:v>259</x:v>
      </x:c>
      <x:c r="B283" t="str">
        <x:v>Medium</x:v>
      </x:c>
      <x:c r="C283" t="n">
        <x:v>958</x:v>
      </x:c>
      <x:c r="D283" t="str">
        <x:v>Check Completeness of a Binary Tree</x:v>
      </x:c>
      <x:c r="E283" t="str">
        <x:v>https://leetcode.com/problems/check-completeness-of-a-binary-tree/</x:v>
      </x:c>
      <x:c r="F283" t="str">
        <x:v>Not Started</x:v>
      </x:c>
      <x:c r="G283" s="36" t="n">
        <x:v>46369</x:v>
      </x:c>
      <x:c r="H283"/>
    </x:row>
    <x:row r="284">
      <x:c r="A284" t="n">
        <x:v>260</x:v>
      </x:c>
      <x:c r="B284" t="str">
        <x:v>Medium</x:v>
      </x:c>
      <x:c r="C284" t="n">
        <x:v>979</x:v>
      </x:c>
      <x:c r="D284" t="str">
        <x:v>Distribute Coins in Binary Tree</x:v>
      </x:c>
      <x:c r="E284" t="str">
        <x:v>https://leetcode.com/problems/distribute-coins-in-binary-tree/</x:v>
      </x:c>
      <x:c r="F284" t="str">
        <x:v>Not Started</x:v>
      </x:c>
      <x:c r="G284" s="36" t="n">
        <x:v>46370</x:v>
      </x:c>
      <x:c r="H284"/>
    </x:row>
    <x:row r="285">
      <x:c r="A285"/>
      <x:c r="B285"/>
      <x:c r="C285"/>
      <x:c r="D285"/>
      <x:c r="E285"/>
      <x:c r="F285"/>
      <x:c r="G285"/>
      <x:c r="H285"/>
    </x:row>
    <x:row r="286">
      <x:c r="A286"/>
      <x:c r="B286"/>
      <x:c r="C286"/>
      <x:c r="D286"/>
      <x:c r="E286"/>
      <x:c r="F286"/>
      <x:c r="G286"/>
      <x:c r="H286"/>
    </x:row>
    <x:row r="287">
      <x:c r="A287" s="220" t="str">
        <x:v>Graphs  —  45 problems</x:v>
      </x:c>
      <x:c r="B287" s="220"/>
      <x:c r="C287" s="220"/>
      <x:c r="D287" s="220"/>
      <x:c r="E287" s="220"/>
      <x:c r="F287" s="220"/>
      <x:c r="G287" s="220"/>
      <x:c r="H287" s="220"/>
    </x:row>
    <x:row r="288">
      <x:c r="A288" s="224" t="str">
        <x:v>Seq</x:v>
      </x:c>
      <x:c r="B288" s="224" t="str">
        <x:v>Difficulty</x:v>
      </x:c>
      <x:c r="C288" s="224" t="str">
        <x:v>LC ID</x:v>
      </x:c>
      <x:c r="D288" s="224" t="str">
        <x:v>Problem Title</x:v>
      </x:c>
      <x:c r="E288" s="224" t="str">
        <x:v>Problem URL</x:v>
      </x:c>
      <x:c r="F288" s="224" t="str">
        <x:v>Status</x:v>
      </x:c>
      <x:c r="G288" s="224" t="str">
        <x:v>Planned Date</x:v>
      </x:c>
      <x:c r="H288" s="224" t="str">
        <x:v>Notes</x:v>
      </x:c>
    </x:row>
    <x:row r="289">
      <x:c r="A289" t="n">
        <x:v>261</x:v>
      </x:c>
      <x:c r="B289" t="str">
        <x:v>Medium</x:v>
      </x:c>
      <x:c r="C289" t="n">
        <x:v>200</x:v>
      </x:c>
      <x:c r="D289" t="str">
        <x:v>Number of Islands</x:v>
      </x:c>
      <x:c r="E289" t="str">
        <x:v>https://leetcode.com/problems/number-of-islands/</x:v>
      </x:c>
      <x:c r="F289" t="str">
        <x:v>Not Started</x:v>
      </x:c>
      <x:c r="G289" s="36" t="n">
        <x:v>46370</x:v>
      </x:c>
      <x:c r="H289"/>
    </x:row>
    <x:row r="290">
      <x:c r="A290" t="n">
        <x:v>262</x:v>
      </x:c>
      <x:c r="B290" t="str">
        <x:v>Medium</x:v>
      </x:c>
      <x:c r="C290" t="n">
        <x:v>133</x:v>
      </x:c>
      <x:c r="D290" t="str">
        <x:v>Clone Graph</x:v>
      </x:c>
      <x:c r="E290" t="str">
        <x:v>https://leetcode.com/problems/clone-graph/</x:v>
      </x:c>
      <x:c r="F290" t="str">
        <x:v>Not Started</x:v>
      </x:c>
      <x:c r="G290" s="36" t="n">
        <x:v>46371</x:v>
      </x:c>
      <x:c r="H290"/>
    </x:row>
    <x:row r="291">
      <x:c r="A291" t="n">
        <x:v>263</x:v>
      </x:c>
      <x:c r="B291" t="str">
        <x:v>Medium</x:v>
      </x:c>
      <x:c r="C291" t="n">
        <x:v>207</x:v>
      </x:c>
      <x:c r="D291" t="str">
        <x:v>Course Schedule</x:v>
      </x:c>
      <x:c r="E291" t="str">
        <x:v>https://leetcode.com/problems/course-schedule/</x:v>
      </x:c>
      <x:c r="F291" t="str">
        <x:v>Not Started</x:v>
      </x:c>
      <x:c r="G291" s="36" t="n">
        <x:v>46371</x:v>
      </x:c>
      <x:c r="H291"/>
    </x:row>
    <x:row r="292">
      <x:c r="A292" t="n">
        <x:v>264</x:v>
      </x:c>
      <x:c r="B292" t="str">
        <x:v>Medium</x:v>
      </x:c>
      <x:c r="C292" t="n">
        <x:v>210</x:v>
      </x:c>
      <x:c r="D292" t="str">
        <x:v>Course Schedule II</x:v>
      </x:c>
      <x:c r="E292" t="str">
        <x:v>https://leetcode.com/problems/course-schedule-ii/</x:v>
      </x:c>
      <x:c r="F292" t="str">
        <x:v>Not Started</x:v>
      </x:c>
      <x:c r="G292" s="36" t="n">
        <x:v>46372</x:v>
      </x:c>
      <x:c r="H292"/>
    </x:row>
    <x:row r="293">
      <x:c r="A293" t="n">
        <x:v>265</x:v>
      </x:c>
      <x:c r="B293" t="str">
        <x:v>Medium</x:v>
      </x:c>
      <x:c r="C293" t="n">
        <x:v>547</x:v>
      </x:c>
      <x:c r="D293" t="str">
        <x:v>Number of Provinces</x:v>
      </x:c>
      <x:c r="E293" t="str">
        <x:v>https://leetcode.com/problems/number-of-provinces/</x:v>
      </x:c>
      <x:c r="F293" t="str">
        <x:v>Not Started</x:v>
      </x:c>
      <x:c r="G293" s="36" t="n">
        <x:v>46372</x:v>
      </x:c>
      <x:c r="H293"/>
    </x:row>
    <x:row r="294">
      <x:c r="A294" t="n">
        <x:v>266</x:v>
      </x:c>
      <x:c r="B294" t="str">
        <x:v>Medium</x:v>
      </x:c>
      <x:c r="C294" t="n">
        <x:v>695</x:v>
      </x:c>
      <x:c r="D294" t="str">
        <x:v>Max Area of Island</x:v>
      </x:c>
      <x:c r="E294" t="str">
        <x:v>https://leetcode.com/problems/max-area-of-island/</x:v>
      </x:c>
      <x:c r="F294" t="str">
        <x:v>Not Started</x:v>
      </x:c>
      <x:c r="G294" s="36" t="n">
        <x:v>46373</x:v>
      </x:c>
      <x:c r="H294"/>
    </x:row>
    <x:row r="295">
      <x:c r="A295" t="n">
        <x:v>267</x:v>
      </x:c>
      <x:c r="B295" t="str">
        <x:v>Medium</x:v>
      </x:c>
      <x:c r="C295" t="n">
        <x:v>994</x:v>
      </x:c>
      <x:c r="D295" t="str">
        <x:v>Rotting Oranges</x:v>
      </x:c>
      <x:c r="E295" t="str">
        <x:v>https://leetcode.com/problems/rotting-oranges/</x:v>
      </x:c>
      <x:c r="F295" t="str">
        <x:v>Not Started</x:v>
      </x:c>
      <x:c r="G295" s="36" t="n">
        <x:v>46373</x:v>
      </x:c>
      <x:c r="H295"/>
    </x:row>
    <x:row r="296">
      <x:c r="A296" t="n">
        <x:v>268</x:v>
      </x:c>
      <x:c r="B296" t="str">
        <x:v>Medium</x:v>
      </x:c>
      <x:c r="C296" t="n">
        <x:v>130</x:v>
      </x:c>
      <x:c r="D296" t="str">
        <x:v>Surrounded Regions</x:v>
      </x:c>
      <x:c r="E296" t="str">
        <x:v>https://leetcode.com/problems/surrounded-regions/</x:v>
      </x:c>
      <x:c r="F296" t="str">
        <x:v>Not Started</x:v>
      </x:c>
      <x:c r="G296" s="36" t="n">
        <x:v>46374</x:v>
      </x:c>
      <x:c r="H296"/>
    </x:row>
    <x:row r="297">
      <x:c r="A297" t="n">
        <x:v>269</x:v>
      </x:c>
      <x:c r="B297" t="str">
        <x:v>Medium</x:v>
      </x:c>
      <x:c r="C297" t="n">
        <x:v>417</x:v>
      </x:c>
      <x:c r="D297" t="str">
        <x:v>Pacific Atlantic Water Flow</x:v>
      </x:c>
      <x:c r="E297" t="str">
        <x:v>https://leetcode.com/problems/pacific-atlantic-water-flow/</x:v>
      </x:c>
      <x:c r="F297" t="str">
        <x:v>Not Started</x:v>
      </x:c>
      <x:c r="G297" s="36" t="n">
        <x:v>46374</x:v>
      </x:c>
      <x:c r="H297"/>
    </x:row>
    <x:row r="298">
      <x:c r="A298" t="n">
        <x:v>270</x:v>
      </x:c>
      <x:c r="B298" t="str">
        <x:v>Medium</x:v>
      </x:c>
      <x:c r="C298" t="n">
        <x:v>542</x:v>
      </x:c>
      <x:c r="D298" t="str">
        <x:v>01 Matrix</x:v>
      </x:c>
      <x:c r="E298" t="str">
        <x:v>https://leetcode.com/problems/01-matrix/</x:v>
      </x:c>
      <x:c r="F298" t="str">
        <x:v>Not Started</x:v>
      </x:c>
      <x:c r="G298" s="36" t="n">
        <x:v>46375</x:v>
      </x:c>
      <x:c r="H298"/>
    </x:row>
    <x:row r="299">
      <x:c r="A299" t="n">
        <x:v>271</x:v>
      </x:c>
      <x:c r="B299" t="str">
        <x:v>Easy</x:v>
      </x:c>
      <x:c r="C299" t="n">
        <x:v>733</x:v>
      </x:c>
      <x:c r="D299" t="str">
        <x:v>Flood Fill</x:v>
      </x:c>
      <x:c r="E299" t="str">
        <x:v>https://leetcode.com/problems/flood-fill/</x:v>
      </x:c>
      <x:c r="F299" t="str">
        <x:v>Not Started</x:v>
      </x:c>
      <x:c r="G299" s="36" t="n">
        <x:v>46375</x:v>
      </x:c>
      <x:c r="H299"/>
    </x:row>
    <x:row r="300">
      <x:c r="A300" t="n">
        <x:v>272</x:v>
      </x:c>
      <x:c r="B300" t="str">
        <x:v>Medium</x:v>
      </x:c>
      <x:c r="C300" t="n">
        <x:v>797</x:v>
      </x:c>
      <x:c r="D300" t="str">
        <x:v>All Paths From Source to Target</x:v>
      </x:c>
      <x:c r="E300" t="str">
        <x:v>https://leetcode.com/problems/all-paths-from-source-to-target/</x:v>
      </x:c>
      <x:c r="F300" t="str">
        <x:v>Not Started</x:v>
      </x:c>
      <x:c r="G300" s="36" t="n">
        <x:v>46376</x:v>
      </x:c>
      <x:c r="H300"/>
    </x:row>
    <x:row r="301">
      <x:c r="A301" t="n">
        <x:v>273</x:v>
      </x:c>
      <x:c r="B301" t="str">
        <x:v>Medium</x:v>
      </x:c>
      <x:c r="C301" t="n">
        <x:v>841</x:v>
      </x:c>
      <x:c r="D301" t="str">
        <x:v>Keys and Rooms</x:v>
      </x:c>
      <x:c r="E301" t="str">
        <x:v>https://leetcode.com/problems/keys-and-rooms/</x:v>
      </x:c>
      <x:c r="F301" t="str">
        <x:v>Not Started</x:v>
      </x:c>
      <x:c r="G301" s="36" t="n">
        <x:v>46376</x:v>
      </x:c>
      <x:c r="H301"/>
    </x:row>
    <x:row r="302">
      <x:c r="A302" t="n">
        <x:v>274</x:v>
      </x:c>
      <x:c r="B302" t="str">
        <x:v>Medium</x:v>
      </x:c>
      <x:c r="C302" t="n">
        <x:v>785</x:v>
      </x:c>
      <x:c r="D302" t="str">
        <x:v>Is Graph Bipartite?</x:v>
      </x:c>
      <x:c r="E302" t="str">
        <x:v>https://leetcode.com/problems/is-graph-bipartite/</x:v>
      </x:c>
      <x:c r="F302" t="str">
        <x:v>Not Started</x:v>
      </x:c>
      <x:c r="G302" s="36" t="n">
        <x:v>46377</x:v>
      </x:c>
      <x:c r="H302"/>
    </x:row>
    <x:row r="303">
      <x:c r="A303" t="n">
        <x:v>275</x:v>
      </x:c>
      <x:c r="B303" t="str">
        <x:v>Medium</x:v>
      </x:c>
      <x:c r="C303" t="n">
        <x:v>802</x:v>
      </x:c>
      <x:c r="D303" t="str">
        <x:v>Find Eventual Safe States</x:v>
      </x:c>
      <x:c r="E303" t="str">
        <x:v>https://leetcode.com/problems/find-eventual-safe-states/</x:v>
      </x:c>
      <x:c r="F303" t="str">
        <x:v>Not Started</x:v>
      </x:c>
      <x:c r="G303" s="36" t="n">
        <x:v>46377</x:v>
      </x:c>
      <x:c r="H303"/>
    </x:row>
    <x:row r="304">
      <x:c r="A304" t="n">
        <x:v>276</x:v>
      </x:c>
      <x:c r="B304" t="str">
        <x:v>Medium</x:v>
      </x:c>
      <x:c r="C304" t="n">
        <x:v>886</x:v>
      </x:c>
      <x:c r="D304" t="str">
        <x:v>Possible Bipartition</x:v>
      </x:c>
      <x:c r="E304" t="str">
        <x:v>https://leetcode.com/problems/possible-bipartition/</x:v>
      </x:c>
      <x:c r="F304" t="str">
        <x:v>Not Started</x:v>
      </x:c>
      <x:c r="G304" s="36" t="n">
        <x:v>46378</x:v>
      </x:c>
      <x:c r="H304"/>
    </x:row>
    <x:row r="305">
      <x:c r="A305" t="n">
        <x:v>277</x:v>
      </x:c>
      <x:c r="B305" t="str">
        <x:v>Medium</x:v>
      </x:c>
      <x:c r="C305" t="n">
        <x:v>990</x:v>
      </x:c>
      <x:c r="D305" t="str">
        <x:v>Satisfiability of Equality Equations</x:v>
      </x:c>
      <x:c r="E305" t="str">
        <x:v>https://leetcode.com/problems/satisfiability-of-equality-equations/</x:v>
      </x:c>
      <x:c r="F305" t="str">
        <x:v>Not Started</x:v>
      </x:c>
      <x:c r="G305" s="36" t="n">
        <x:v>46378</x:v>
      </x:c>
      <x:c r="H305"/>
    </x:row>
    <x:row r="306">
      <x:c r="A306" t="n">
        <x:v>278</x:v>
      </x:c>
      <x:c r="B306" t="str">
        <x:v>Medium</x:v>
      </x:c>
      <x:c r="C306" t="n">
        <x:v>1091</x:v>
      </x:c>
      <x:c r="D306" t="str">
        <x:v>Shortest Path in Binary Matrix</x:v>
      </x:c>
      <x:c r="E306" t="str">
        <x:v>https://leetcode.com/problems/shortest-path-in-binary-matrix/</x:v>
      </x:c>
      <x:c r="F306" t="str">
        <x:v>Not Started</x:v>
      </x:c>
      <x:c r="G306" s="36" t="n">
        <x:v>46379</x:v>
      </x:c>
      <x:c r="H306"/>
    </x:row>
    <x:row r="307">
      <x:c r="A307" t="n">
        <x:v>279</x:v>
      </x:c>
      <x:c r="B307" t="str">
        <x:v>Medium</x:v>
      </x:c>
      <x:c r="C307" t="n">
        <x:v>1162</x:v>
      </x:c>
      <x:c r="D307" t="str">
        <x:v>As Far from Land as Possible</x:v>
      </x:c>
      <x:c r="E307" t="str">
        <x:v>https://leetcode.com/problems/as-far-from-land-as-possible/</x:v>
      </x:c>
      <x:c r="F307" t="str">
        <x:v>Not Started</x:v>
      </x:c>
      <x:c r="G307" s="36" t="n">
        <x:v>46379</x:v>
      </x:c>
      <x:c r="H307"/>
    </x:row>
    <x:row r="308">
      <x:c r="A308" t="n">
        <x:v>280</x:v>
      </x:c>
      <x:c r="B308" t="str">
        <x:v>Medium</x:v>
      </x:c>
      <x:c r="C308" t="n">
        <x:v>1254</x:v>
      </x:c>
      <x:c r="D308" t="str">
        <x:v>Number of Closed Islands</x:v>
      </x:c>
      <x:c r="E308" t="str">
        <x:v>https://leetcode.com/problems/number-of-closed-islands/</x:v>
      </x:c>
      <x:c r="F308" t="str">
        <x:v>Not Started</x:v>
      </x:c>
      <x:c r="G308" s="36" t="n">
        <x:v>46380</x:v>
      </x:c>
      <x:c r="H308"/>
    </x:row>
    <x:row r="309">
      <x:c r="A309" t="n">
        <x:v>281</x:v>
      </x:c>
      <x:c r="B309" t="str">
        <x:v>Hard</x:v>
      </x:c>
      <x:c r="C309" t="n">
        <x:v>1293</x:v>
      </x:c>
      <x:c r="D309" t="str">
        <x:v>Shortest Path in a Grid with Obstacles Elimination</x:v>
      </x:c>
      <x:c r="E309" t="str">
        <x:v>https://leetcode.com/problems/shortest-path-in-a-grid-with-obstacles-elimination/</x:v>
      </x:c>
      <x:c r="F309" t="str">
        <x:v>Not Started</x:v>
      </x:c>
      <x:c r="G309" s="36" t="n">
        <x:v>46380</x:v>
      </x:c>
      <x:c r="H309"/>
    </x:row>
    <x:row r="310">
      <x:c r="A310" t="n">
        <x:v>282</x:v>
      </x:c>
      <x:c r="B310" t="str">
        <x:v>Medium</x:v>
      </x:c>
      <x:c r="C310" t="n">
        <x:v>1319</x:v>
      </x:c>
      <x:c r="D310" t="str">
        <x:v>Number of Operations to Make Network Connected</x:v>
      </x:c>
      <x:c r="E310" t="str">
        <x:v>https://leetcode.com/problems/number-of-operations-to-make-network-connected/</x:v>
      </x:c>
      <x:c r="F310" t="str">
        <x:v>Not Started</x:v>
      </x:c>
      <x:c r="G310" s="36" t="n">
        <x:v>46381</x:v>
      </x:c>
      <x:c r="H310"/>
    </x:row>
    <x:row r="311">
      <x:c r="A311" t="n">
        <x:v>283</x:v>
      </x:c>
      <x:c r="B311" t="str">
        <x:v>Medium</x:v>
      </x:c>
      <x:c r="C311" t="n">
        <x:v>1466</x:v>
      </x:c>
      <x:c r="D311" t="str">
        <x:v>Reorder Routes to Make All Paths Lead to the City Zero</x:v>
      </x:c>
      <x:c r="E311" t="str">
        <x:v>https://leetcode.com/problems/reorder-routes-to-make-all-paths-lead-to-the-city-zero/</x:v>
      </x:c>
      <x:c r="F311" t="str">
        <x:v>Not Started</x:v>
      </x:c>
      <x:c r="G311" s="36" t="n">
        <x:v>46381</x:v>
      </x:c>
      <x:c r="H311"/>
    </x:row>
    <x:row r="312">
      <x:c r="A312" t="n">
        <x:v>284</x:v>
      </x:c>
      <x:c r="B312" t="str">
        <x:v>Medium</x:v>
      </x:c>
      <x:c r="C312" t="n">
        <x:v>1584</x:v>
      </x:c>
      <x:c r="D312" t="str">
        <x:v>Min Cost to Connect All Points</x:v>
      </x:c>
      <x:c r="E312" t="str">
        <x:v>https://leetcode.com/problems/min-cost-to-connect-all-points/</x:v>
      </x:c>
      <x:c r="F312" t="str">
        <x:v>Not Started</x:v>
      </x:c>
      <x:c r="G312" s="36" t="n">
        <x:v>46382</x:v>
      </x:c>
      <x:c r="H312"/>
    </x:row>
    <x:row r="313">
      <x:c r="A313" t="n">
        <x:v>285</x:v>
      </x:c>
      <x:c r="B313" t="str">
        <x:v>Medium</x:v>
      </x:c>
      <x:c r="C313" t="n">
        <x:v>1631</x:v>
      </x:c>
      <x:c r="D313" t="str">
        <x:v>Path With Minimum Effort</x:v>
      </x:c>
      <x:c r="E313" t="str">
        <x:v>https://leetcode.com/problems/path-with-minimum-effort/</x:v>
      </x:c>
      <x:c r="F313" t="str">
        <x:v>Not Started</x:v>
      </x:c>
      <x:c r="G313" s="36" t="n">
        <x:v>46382</x:v>
      </x:c>
      <x:c r="H313"/>
    </x:row>
    <x:row r="314">
      <x:c r="A314" t="n">
        <x:v>286</x:v>
      </x:c>
      <x:c r="B314" t="str">
        <x:v>Easy</x:v>
      </x:c>
      <x:c r="C314" t="n">
        <x:v>1971</x:v>
      </x:c>
      <x:c r="D314" t="str">
        <x:v>Find if Path Exists in Graph</x:v>
      </x:c>
      <x:c r="E314" t="str">
        <x:v>https://leetcode.com/problems/find-if-path-exists-in-graph/</x:v>
      </x:c>
      <x:c r="F314" t="str">
        <x:v>Not Started</x:v>
      </x:c>
      <x:c r="G314" s="36" t="n">
        <x:v>46383</x:v>
      </x:c>
      <x:c r="H314"/>
    </x:row>
    <x:row r="315">
      <x:c r="A315" t="n">
        <x:v>287</x:v>
      </x:c>
      <x:c r="B315" t="str">
        <x:v>Easy</x:v>
      </x:c>
      <x:c r="C315" t="n">
        <x:v>1791</x:v>
      </x:c>
      <x:c r="D315" t="str">
        <x:v>Find Center of Star Graph</x:v>
      </x:c>
      <x:c r="E315" t="str">
        <x:v>https://leetcode.com/problems/find-center-of-star-graph/</x:v>
      </x:c>
      <x:c r="F315" t="str">
        <x:v>Not Started</x:v>
      </x:c>
      <x:c r="G315" s="36" t="n">
        <x:v>46383</x:v>
      </x:c>
      <x:c r="H315"/>
    </x:row>
    <x:row r="316">
      <x:c r="A316" t="n">
        <x:v>288</x:v>
      </x:c>
      <x:c r="B316" t="str">
        <x:v>Easy</x:v>
      </x:c>
      <x:c r="C316" t="n">
        <x:v>997</x:v>
      </x:c>
      <x:c r="D316" t="str">
        <x:v>Find the Town Judge</x:v>
      </x:c>
      <x:c r="E316" t="str">
        <x:v>https://leetcode.com/problems/find-the-town-judge/</x:v>
      </x:c>
      <x:c r="F316" t="str">
        <x:v>Not Started</x:v>
      </x:c>
      <x:c r="G316" s="36" t="n">
        <x:v>46384</x:v>
      </x:c>
      <x:c r="H316"/>
    </x:row>
    <x:row r="317">
      <x:c r="A317" t="n">
        <x:v>289</x:v>
      </x:c>
      <x:c r="B317" t="str">
        <x:v>Medium</x:v>
      </x:c>
      <x:c r="C317" t="n">
        <x:v>399</x:v>
      </x:c>
      <x:c r="D317" t="str">
        <x:v>Evaluate Division</x:v>
      </x:c>
      <x:c r="E317" t="str">
        <x:v>https://leetcode.com/problems/evaluate-division/</x:v>
      </x:c>
      <x:c r="F317" t="str">
        <x:v>Not Started</x:v>
      </x:c>
      <x:c r="G317" s="36" t="n">
        <x:v>46384</x:v>
      </x:c>
      <x:c r="H317"/>
    </x:row>
    <x:row r="318">
      <x:c r="A318" t="n">
        <x:v>290</x:v>
      </x:c>
      <x:c r="B318" t="str">
        <x:v>Hard</x:v>
      </x:c>
      <x:c r="C318" t="n">
        <x:v>332</x:v>
      </x:c>
      <x:c r="D318" t="str">
        <x:v>Reconstruct Itinerary</x:v>
      </x:c>
      <x:c r="E318" t="str">
        <x:v>https://leetcode.com/problems/reconstruct-itinerary/</x:v>
      </x:c>
      <x:c r="F318" t="str">
        <x:v>Not Started</x:v>
      </x:c>
      <x:c r="G318" s="36" t="n">
        <x:v>46385</x:v>
      </x:c>
      <x:c r="H318"/>
    </x:row>
    <x:row r="319">
      <x:c r="A319" t="n">
        <x:v>291</x:v>
      </x:c>
      <x:c r="B319" t="str">
        <x:v>Hard</x:v>
      </x:c>
      <x:c r="C319" t="n">
        <x:v>127</x:v>
      </x:c>
      <x:c r="D319" t="str">
        <x:v>Word Ladder</x:v>
      </x:c>
      <x:c r="E319" t="str">
        <x:v>https://leetcode.com/problems/word-ladder/</x:v>
      </x:c>
      <x:c r="F319" t="str">
        <x:v>Not Started</x:v>
      </x:c>
      <x:c r="G319" s="36" t="n">
        <x:v>46385</x:v>
      </x:c>
      <x:c r="H319"/>
    </x:row>
    <x:row r="320">
      <x:c r="A320" t="n">
        <x:v>292</x:v>
      </x:c>
      <x:c r="B320" t="str">
        <x:v>Hard</x:v>
      </x:c>
      <x:c r="C320" t="n">
        <x:v>126</x:v>
      </x:c>
      <x:c r="D320" t="str">
        <x:v>Word Ladder II</x:v>
      </x:c>
      <x:c r="E320" t="str">
        <x:v>https://leetcode.com/problems/word-ladder-ii/</x:v>
      </x:c>
      <x:c r="F320" t="str">
        <x:v>Not Started</x:v>
      </x:c>
      <x:c r="G320" s="36" t="n">
        <x:v>46385</x:v>
      </x:c>
      <x:c r="H320"/>
    </x:row>
    <x:row r="321">
      <x:c r="A321" t="n">
        <x:v>293</x:v>
      </x:c>
      <x:c r="B321" t="str">
        <x:v>Hard</x:v>
      </x:c>
      <x:c r="C321" t="n">
        <x:v>269</x:v>
      </x:c>
      <x:c r="D321" t="str">
        <x:v>Alien Dictionary</x:v>
      </x:c>
      <x:c r="E321" t="str">
        <x:v>https://leetcode.com/problems/alien-dictionary/</x:v>
      </x:c>
      <x:c r="F321" t="str">
        <x:v>Not Started</x:v>
      </x:c>
      <x:c r="G321" s="36" t="n">
        <x:v>46386</x:v>
      </x:c>
      <x:c r="H321"/>
    </x:row>
    <x:row r="322">
      <x:c r="A322" t="n">
        <x:v>294</x:v>
      </x:c>
      <x:c r="B322" t="str">
        <x:v>Hard</x:v>
      </x:c>
      <x:c r="C322" t="n">
        <x:v>1192</x:v>
      </x:c>
      <x:c r="D322" t="str">
        <x:v>Critical Connections in a Network</x:v>
      </x:c>
      <x:c r="E322" t="str">
        <x:v>https://leetcode.com/problems/critical-connections-in-a-network/</x:v>
      </x:c>
      <x:c r="F322" t="str">
        <x:v>Not Started</x:v>
      </x:c>
      <x:c r="G322" s="36" t="n">
        <x:v>46386</x:v>
      </x:c>
      <x:c r="H322"/>
    </x:row>
    <x:row r="323">
      <x:c r="A323" t="n">
        <x:v>295</x:v>
      </x:c>
      <x:c r="B323" t="str">
        <x:v>Hard</x:v>
      </x:c>
      <x:c r="C323" t="n">
        <x:v>778</x:v>
      </x:c>
      <x:c r="D323" t="str">
        <x:v>Swim in Rising Water</x:v>
      </x:c>
      <x:c r="E323" t="str">
        <x:v>https://leetcode.com/problems/swim-in-rising-water/</x:v>
      </x:c>
      <x:c r="F323" t="str">
        <x:v>Not Started</x:v>
      </x:c>
      <x:c r="G323" s="36" t="n">
        <x:v>46386</x:v>
      </x:c>
      <x:c r="H323"/>
    </x:row>
    <x:row r="324">
      <x:c r="A324" t="n">
        <x:v>296</x:v>
      </x:c>
      <x:c r="B324" t="str">
        <x:v>Medium</x:v>
      </x:c>
      <x:c r="C324" t="n">
        <x:v>743</x:v>
      </x:c>
      <x:c r="D324" t="str">
        <x:v>Network Delay Time</x:v>
      </x:c>
      <x:c r="E324" t="str">
        <x:v>https://leetcode.com/problems/network-delay-time/</x:v>
      </x:c>
      <x:c r="F324" t="str">
        <x:v>Not Started</x:v>
      </x:c>
      <x:c r="G324" s="36" t="n">
        <x:v>46387</x:v>
      </x:c>
      <x:c r="H324"/>
    </x:row>
    <x:row r="325">
      <x:c r="A325" t="n">
        <x:v>297</x:v>
      </x:c>
      <x:c r="B325" t="str">
        <x:v>Medium</x:v>
      </x:c>
      <x:c r="C325" t="n">
        <x:v>787</x:v>
      </x:c>
      <x:c r="D325" t="str">
        <x:v>Cheapest Flights Within K Stops</x:v>
      </x:c>
      <x:c r="E325" t="str">
        <x:v>https://leetcode.com/problems/cheapest-flights-within-k-stops/</x:v>
      </x:c>
      <x:c r="F325" t="str">
        <x:v>Not Started</x:v>
      </x:c>
      <x:c r="G325" s="36" t="n">
        <x:v>46387</x:v>
      </x:c>
      <x:c r="H325"/>
    </x:row>
    <x:row r="326">
      <x:c r="A326" t="n">
        <x:v>298</x:v>
      </x:c>
      <x:c r="B326" t="str">
        <x:v>Medium</x:v>
      </x:c>
      <x:c r="C326" t="n">
        <x:v>1514</x:v>
      </x:c>
      <x:c r="D326" t="str">
        <x:v>Path with Maximum Probability</x:v>
      </x:c>
      <x:c r="E326" t="str">
        <x:v>https://leetcode.com/problems/path-with-maximum-probability/</x:v>
      </x:c>
      <x:c r="F326" t="str">
        <x:v>Not Started</x:v>
      </x:c>
      <x:c r="G326" s="36" t="n">
        <x:v>46387</x:v>
      </x:c>
      <x:c r="H326"/>
    </x:row>
    <x:row r="327">
      <x:c r="A327" t="n">
        <x:v>299</x:v>
      </x:c>
      <x:c r="B327" t="str">
        <x:v>Medium</x:v>
      </x:c>
      <x:c r="C327" t="n">
        <x:v>1976</x:v>
      </x:c>
      <x:c r="D327" t="str">
        <x:v>Number of Ways to Arrive at Destination</x:v>
      </x:c>
      <x:c r="E327" t="str">
        <x:v>https://leetcode.com/problems/number-of-ways-to-arrive-at-destination/</x:v>
      </x:c>
      <x:c r="F327" t="str">
        <x:v>Not Started</x:v>
      </x:c>
      <x:c r="G327" s="36" t="n">
        <x:v>46388</x:v>
      </x:c>
      <x:c r="H327"/>
    </x:row>
    <x:row r="328">
      <x:c r="A328" t="n">
        <x:v>300</x:v>
      </x:c>
      <x:c r="B328" t="str">
        <x:v>Hard</x:v>
      </x:c>
      <x:c r="C328" t="n">
        <x:v>2045</x:v>
      </x:c>
      <x:c r="D328" t="str">
        <x:v>Second Minimum Time to Reach Destination</x:v>
      </x:c>
      <x:c r="E328" t="str">
        <x:v>https://leetcode.com/problems/second-minimum-time-to-reach-destination/</x:v>
      </x:c>
      <x:c r="F328" t="str">
        <x:v>Not Started</x:v>
      </x:c>
      <x:c r="G328" s="36" t="n">
        <x:v>46388</x:v>
      </x:c>
      <x:c r="H328"/>
    </x:row>
    <x:row r="329">
      <x:c r="A329" t="n">
        <x:v>301</x:v>
      </x:c>
      <x:c r="B329" t="str">
        <x:v>Medium</x:v>
      </x:c>
      <x:c r="C329" t="n">
        <x:v>1202</x:v>
      </x:c>
      <x:c r="D329" t="str">
        <x:v>Smallest String With Swaps</x:v>
      </x:c>
      <x:c r="E329" t="str">
        <x:v>https://leetcode.com/problems/smallest-string-with-swaps/</x:v>
      </x:c>
      <x:c r="F329" t="str">
        <x:v>Not Started</x:v>
      </x:c>
      <x:c r="G329" s="36" t="n">
        <x:v>46388</x:v>
      </x:c>
      <x:c r="H329"/>
    </x:row>
    <x:row r="330">
      <x:c r="A330" t="n">
        <x:v>302</x:v>
      </x:c>
      <x:c r="B330" t="str">
        <x:v>Medium</x:v>
      </x:c>
      <x:c r="C330" t="n">
        <x:v>721</x:v>
      </x:c>
      <x:c r="D330" t="str">
        <x:v>Accounts Merge</x:v>
      </x:c>
      <x:c r="E330" t="str">
        <x:v>https://leetcode.com/problems/accounts-merge/</x:v>
      </x:c>
      <x:c r="F330" t="str">
        <x:v>Not Started</x:v>
      </x:c>
      <x:c r="G330" s="36" t="n">
        <x:v>46389</x:v>
      </x:c>
      <x:c r="H330"/>
    </x:row>
    <x:row r="331">
      <x:c r="A331" t="n">
        <x:v>303</x:v>
      </x:c>
      <x:c r="B331" t="str">
        <x:v>Medium</x:v>
      </x:c>
      <x:c r="C331" t="n">
        <x:v>684</x:v>
      </x:c>
      <x:c r="D331" t="str">
        <x:v>Redundant Connection</x:v>
      </x:c>
      <x:c r="E331" t="str">
        <x:v>https://leetcode.com/problems/redundant-connection/</x:v>
      </x:c>
      <x:c r="F331" t="str">
        <x:v>Not Started</x:v>
      </x:c>
      <x:c r="G331" s="36" t="n">
        <x:v>46389</x:v>
      </x:c>
      <x:c r="H331"/>
    </x:row>
    <x:row r="332">
      <x:c r="A332" t="n">
        <x:v>304</x:v>
      </x:c>
      <x:c r="B332" t="str">
        <x:v>Hard</x:v>
      </x:c>
      <x:c r="C332" t="n">
        <x:v>685</x:v>
      </x:c>
      <x:c r="D332" t="str">
        <x:v>Redundant Connection II</x:v>
      </x:c>
      <x:c r="E332" t="str">
        <x:v>https://leetcode.com/problems/redundant-connection-ii/</x:v>
      </x:c>
      <x:c r="F332" t="str">
        <x:v>Not Started</x:v>
      </x:c>
      <x:c r="G332" s="36" t="n">
        <x:v>46389</x:v>
      </x:c>
      <x:c r="H332"/>
    </x:row>
    <x:row r="333">
      <x:c r="A333" t="n">
        <x:v>305</x:v>
      </x:c>
      <x:c r="B333" t="str">
        <x:v>Medium</x:v>
      </x:c>
      <x:c r="C333" t="n">
        <x:v>934</x:v>
      </x:c>
      <x:c r="D333" t="str">
        <x:v>Shortest Bridge</x:v>
      </x:c>
      <x:c r="E333" t="str">
        <x:v>https://leetcode.com/problems/shortest-bridge/</x:v>
      </x:c>
      <x:c r="F333" t="str">
        <x:v>Not Started</x:v>
      </x:c>
      <x:c r="G333" s="36" t="n">
        <x:v>46390</x:v>
      </x:c>
      <x:c r="H333"/>
    </x:row>
    <x:row r="334">
      <x:c r="A334"/>
      <x:c r="B334"/>
      <x:c r="C334"/>
      <x:c r="D334"/>
      <x:c r="E334"/>
      <x:c r="F334"/>
      <x:c r="G334"/>
      <x:c r="H334"/>
    </x:row>
    <x:row r="335">
      <x:c r="A335"/>
      <x:c r="B335"/>
      <x:c r="C335"/>
      <x:c r="D335"/>
      <x:c r="E335"/>
      <x:c r="F335"/>
      <x:c r="G335"/>
      <x:c r="H335"/>
    </x:row>
    <x:row r="336">
      <x:c r="A336" s="220" t="str">
        <x:v>Dynamic Programming  —  60 problems</x:v>
      </x:c>
      <x:c r="B336" s="220"/>
      <x:c r="C336" s="220"/>
      <x:c r="D336" s="220"/>
      <x:c r="E336" s="220"/>
      <x:c r="F336" s="220"/>
      <x:c r="G336" s="220"/>
      <x:c r="H336" s="220"/>
    </x:row>
    <x:row r="337">
      <x:c r="A337" s="224" t="str">
        <x:v>Seq</x:v>
      </x:c>
      <x:c r="B337" s="224" t="str">
        <x:v>Difficulty</x:v>
      </x:c>
      <x:c r="C337" s="224" t="str">
        <x:v>LC ID</x:v>
      </x:c>
      <x:c r="D337" s="224" t="str">
        <x:v>Problem Title</x:v>
      </x:c>
      <x:c r="E337" s="224" t="str">
        <x:v>Problem URL</x:v>
      </x:c>
      <x:c r="F337" s="224" t="str">
        <x:v>Status</x:v>
      </x:c>
      <x:c r="G337" s="224" t="str">
        <x:v>Planned Date</x:v>
      </x:c>
      <x:c r="H337" s="224" t="str">
        <x:v>Notes</x:v>
      </x:c>
    </x:row>
    <x:row r="338">
      <x:c r="A338" t="n">
        <x:v>306</x:v>
      </x:c>
      <x:c r="B338" t="str">
        <x:v>Easy</x:v>
      </x:c>
      <x:c r="C338" t="n">
        <x:v>70</x:v>
      </x:c>
      <x:c r="D338" t="str">
        <x:v>Climbing Stairs</x:v>
      </x:c>
      <x:c r="E338" t="str">
        <x:v>https://leetcode.com/problems/climbing-stairs/</x:v>
      </x:c>
      <x:c r="F338" t="str">
        <x:v>Done</x:v>
      </x:c>
      <x:c r="G338" s="36"/>
      <x:c r="H338"/>
    </x:row>
    <x:row r="339">
      <x:c r="A339" t="n">
        <x:v>307</x:v>
      </x:c>
      <x:c r="B339" t="str">
        <x:v>Easy</x:v>
      </x:c>
      <x:c r="C339" t="n">
        <x:v>746</x:v>
      </x:c>
      <x:c r="D339" t="str">
        <x:v>Min Cost Climbing Stairs</x:v>
      </x:c>
      <x:c r="E339" t="str">
        <x:v>https://leetcode.com/problems/min-cost-climbing-stairs/</x:v>
      </x:c>
      <x:c r="F339" t="str">
        <x:v>Not Started</x:v>
      </x:c>
      <x:c r="G339" s="36" t="n">
        <x:v>46390</x:v>
      </x:c>
      <x:c r="H339"/>
    </x:row>
    <x:row r="340">
      <x:c r="A340" t="n">
        <x:v>308</x:v>
      </x:c>
      <x:c r="B340" t="str">
        <x:v>Medium</x:v>
      </x:c>
      <x:c r="C340" t="n">
        <x:v>198</x:v>
      </x:c>
      <x:c r="D340" t="str">
        <x:v>House Robber</x:v>
      </x:c>
      <x:c r="E340" t="str">
        <x:v>https://leetcode.com/problems/house-robber/</x:v>
      </x:c>
      <x:c r="F340" t="str">
        <x:v>Not Started</x:v>
      </x:c>
      <x:c r="G340" s="36" t="n">
        <x:v>46390</x:v>
      </x:c>
      <x:c r="H340"/>
    </x:row>
    <x:row r="341">
      <x:c r="A341" t="n">
        <x:v>309</x:v>
      </x:c>
      <x:c r="B341" t="str">
        <x:v>Medium</x:v>
      </x:c>
      <x:c r="C341" t="n">
        <x:v>213</x:v>
      </x:c>
      <x:c r="D341" t="str">
        <x:v>House Robber II</x:v>
      </x:c>
      <x:c r="E341" t="str">
        <x:v>https://leetcode.com/problems/house-robber-ii/</x:v>
      </x:c>
      <x:c r="F341" t="str">
        <x:v>Not Started</x:v>
      </x:c>
      <x:c r="G341" s="36" t="n">
        <x:v>46391</x:v>
      </x:c>
      <x:c r="H341"/>
    </x:row>
    <x:row r="342">
      <x:c r="A342" t="n">
        <x:v>310</x:v>
      </x:c>
      <x:c r="B342" t="str">
        <x:v>Medium</x:v>
      </x:c>
      <x:c r="C342" t="n">
        <x:v>740</x:v>
      </x:c>
      <x:c r="D342" t="str">
        <x:v>Delete and Earn</x:v>
      </x:c>
      <x:c r="E342" t="str">
        <x:v>https://leetcode.com/problems/delete-and-earn/</x:v>
      </x:c>
      <x:c r="F342" t="str">
        <x:v>Not Started</x:v>
      </x:c>
      <x:c r="G342" s="36" t="n">
        <x:v>46391</x:v>
      </x:c>
      <x:c r="H342"/>
    </x:row>
    <x:row r="343">
      <x:c r="A343" t="n">
        <x:v>311</x:v>
      </x:c>
      <x:c r="B343" t="str">
        <x:v>Medium</x:v>
      </x:c>
      <x:c r="C343" t="n">
        <x:v>139</x:v>
      </x:c>
      <x:c r="D343" t="str">
        <x:v>Word Break</x:v>
      </x:c>
      <x:c r="E343" t="str">
        <x:v>https://leetcode.com/problems/word-break/</x:v>
      </x:c>
      <x:c r="F343" t="str">
        <x:v>Not Started</x:v>
      </x:c>
      <x:c r="G343" s="36" t="n">
        <x:v>46391</x:v>
      </x:c>
      <x:c r="H343"/>
    </x:row>
    <x:row r="344">
      <x:c r="A344" t="n">
        <x:v>312</x:v>
      </x:c>
      <x:c r="B344" t="str">
        <x:v>Medium</x:v>
      </x:c>
      <x:c r="C344" t="n">
        <x:v>322</x:v>
      </x:c>
      <x:c r="D344" t="str">
        <x:v>Coin Change</x:v>
      </x:c>
      <x:c r="E344" t="str">
        <x:v>https://leetcode.com/problems/coin-change/</x:v>
      </x:c>
      <x:c r="F344" t="str">
        <x:v>Not Started</x:v>
      </x:c>
      <x:c r="G344" s="36" t="n">
        <x:v>46392</x:v>
      </x:c>
      <x:c r="H344"/>
    </x:row>
    <x:row r="345">
      <x:c r="A345" t="n">
        <x:v>313</x:v>
      </x:c>
      <x:c r="B345" t="str">
        <x:v>Medium</x:v>
      </x:c>
      <x:c r="C345" t="n">
        <x:v>518</x:v>
      </x:c>
      <x:c r="D345" t="str">
        <x:v>Coin Change II</x:v>
      </x:c>
      <x:c r="E345" t="str">
        <x:v>https://leetcode.com/problems/coin-change-ii/</x:v>
      </x:c>
      <x:c r="F345" t="str">
        <x:v>Not Started</x:v>
      </x:c>
      <x:c r="G345" s="36" t="n">
        <x:v>46392</x:v>
      </x:c>
      <x:c r="H345"/>
    </x:row>
    <x:row r="346">
      <x:c r="A346" t="n">
        <x:v>314</x:v>
      </x:c>
      <x:c r="B346" t="str">
        <x:v>Medium</x:v>
      </x:c>
      <x:c r="C346" t="n">
        <x:v>300</x:v>
      </x:c>
      <x:c r="D346" t="str">
        <x:v>Longest Increasing Subsequence</x:v>
      </x:c>
      <x:c r="E346" t="str">
        <x:v>https://leetcode.com/problems/longest-increasing-subsequence/</x:v>
      </x:c>
      <x:c r="F346" t="str">
        <x:v>Not Started</x:v>
      </x:c>
      <x:c r="G346" s="36" t="n">
        <x:v>46392</x:v>
      </x:c>
      <x:c r="H346"/>
    </x:row>
    <x:row r="347">
      <x:c r="A347" t="n">
        <x:v>315</x:v>
      </x:c>
      <x:c r="B347" t="str">
        <x:v>Medium</x:v>
      </x:c>
      <x:c r="C347" t="n">
        <x:v>673</x:v>
      </x:c>
      <x:c r="D347" t="str">
        <x:v>Number of Longest Increasing Subsequence</x:v>
      </x:c>
      <x:c r="E347" t="str">
        <x:v>https://leetcode.com/problems/number-of-longest-increasing-subsequence/</x:v>
      </x:c>
      <x:c r="F347" t="str">
        <x:v>Not Started</x:v>
      </x:c>
      <x:c r="G347" s="36" t="n">
        <x:v>46393</x:v>
      </x:c>
      <x:c r="H347"/>
    </x:row>
    <x:row r="348">
      <x:c r="A348" t="n">
        <x:v>316</x:v>
      </x:c>
      <x:c r="B348" t="str">
        <x:v>Medium</x:v>
      </x:c>
      <x:c r="C348" t="n">
        <x:v>1143</x:v>
      </x:c>
      <x:c r="D348" t="str">
        <x:v>Longest Common Subsequence</x:v>
      </x:c>
      <x:c r="E348" t="str">
        <x:v>https://leetcode.com/problems/longest-common-subsequence/</x:v>
      </x:c>
      <x:c r="F348" t="str">
        <x:v>Not Started</x:v>
      </x:c>
      <x:c r="G348" s="36" t="n">
        <x:v>46393</x:v>
      </x:c>
      <x:c r="H348"/>
    </x:row>
    <x:row r="349">
      <x:c r="A349" t="n">
        <x:v>317</x:v>
      </x:c>
      <x:c r="B349" t="str">
        <x:v>Medium</x:v>
      </x:c>
      <x:c r="C349" t="n">
        <x:v>583</x:v>
      </x:c>
      <x:c r="D349" t="str">
        <x:v>Delete Operation for Two Strings</x:v>
      </x:c>
      <x:c r="E349" t="str">
        <x:v>https://leetcode.com/problems/delete-operation-for-two-strings/</x:v>
      </x:c>
      <x:c r="F349" t="str">
        <x:v>Not Started</x:v>
      </x:c>
      <x:c r="G349" s="36" t="n">
        <x:v>46393</x:v>
      </x:c>
      <x:c r="H349"/>
    </x:row>
    <x:row r="350">
      <x:c r="A350" t="n">
        <x:v>318</x:v>
      </x:c>
      <x:c r="B350" t="str">
        <x:v>Medium</x:v>
      </x:c>
      <x:c r="C350" t="n">
        <x:v>712</x:v>
      </x:c>
      <x:c r="D350" t="str">
        <x:v>Minimum ASCII Delete Sum for Two Strings</x:v>
      </x:c>
      <x:c r="E350" t="str">
        <x:v>https://leetcode.com/problems/minimum-ascii-delete-sum-for-two-strings/</x:v>
      </x:c>
      <x:c r="F350" t="str">
        <x:v>Not Started</x:v>
      </x:c>
      <x:c r="G350" s="36" t="n">
        <x:v>46394</x:v>
      </x:c>
      <x:c r="H350"/>
    </x:row>
    <x:row r="351">
      <x:c r="A351" t="n">
        <x:v>319</x:v>
      </x:c>
      <x:c r="B351" t="str">
        <x:v>Medium</x:v>
      </x:c>
      <x:c r="C351" t="n">
        <x:v>718</x:v>
      </x:c>
      <x:c r="D351" t="str">
        <x:v>Maximum Length of Repeated Subarray</x:v>
      </x:c>
      <x:c r="E351" t="str">
        <x:v>https://leetcode.com/problems/maximum-length-of-repeated-subarray/</x:v>
      </x:c>
      <x:c r="F351" t="str">
        <x:v>Not Started</x:v>
      </x:c>
      <x:c r="G351" s="36" t="n">
        <x:v>46394</x:v>
      </x:c>
      <x:c r="H351"/>
    </x:row>
    <x:row r="352">
      <x:c r="A352" t="n">
        <x:v>320</x:v>
      </x:c>
      <x:c r="B352" t="str">
        <x:v>Medium</x:v>
      </x:c>
      <x:c r="C352" t="n">
        <x:v>62</x:v>
      </x:c>
      <x:c r="D352" t="str">
        <x:v>Unique Paths</x:v>
      </x:c>
      <x:c r="E352" t="str">
        <x:v>https://leetcode.com/problems/unique-paths/</x:v>
      </x:c>
      <x:c r="F352" t="str">
        <x:v>Not Started</x:v>
      </x:c>
      <x:c r="G352" s="36" t="n">
        <x:v>46394</x:v>
      </x:c>
      <x:c r="H352"/>
    </x:row>
    <x:row r="353">
      <x:c r="A353" t="n">
        <x:v>321</x:v>
      </x:c>
      <x:c r="B353" t="str">
        <x:v>Medium</x:v>
      </x:c>
      <x:c r="C353" t="n">
        <x:v>63</x:v>
      </x:c>
      <x:c r="D353" t="str">
        <x:v>Unique Paths II</x:v>
      </x:c>
      <x:c r="E353" t="str">
        <x:v>https://leetcode.com/problems/unique-paths-ii/</x:v>
      </x:c>
      <x:c r="F353" t="str">
        <x:v>Not Started</x:v>
      </x:c>
      <x:c r="G353" s="36" t="n">
        <x:v>46395</x:v>
      </x:c>
      <x:c r="H353"/>
    </x:row>
    <x:row r="354">
      <x:c r="A354" t="n">
        <x:v>322</x:v>
      </x:c>
      <x:c r="B354" t="str">
        <x:v>Medium</x:v>
      </x:c>
      <x:c r="C354" t="n">
        <x:v>64</x:v>
      </x:c>
      <x:c r="D354" t="str">
        <x:v>Minimum Path Sum</x:v>
      </x:c>
      <x:c r="E354" t="str">
        <x:v>https://leetcode.com/problems/minimum-path-sum/</x:v>
      </x:c>
      <x:c r="F354" t="str">
        <x:v>Not Started</x:v>
      </x:c>
      <x:c r="G354" s="36" t="n">
        <x:v>46395</x:v>
      </x:c>
      <x:c r="H354"/>
    </x:row>
    <x:row r="355">
      <x:c r="A355" t="n">
        <x:v>323</x:v>
      </x:c>
      <x:c r="B355" t="str">
        <x:v>Medium</x:v>
      </x:c>
      <x:c r="C355" t="n">
        <x:v>120</x:v>
      </x:c>
      <x:c r="D355" t="str">
        <x:v>Triangle</x:v>
      </x:c>
      <x:c r="E355" t="str">
        <x:v>https://leetcode.com/problems/triangle/</x:v>
      </x:c>
      <x:c r="F355" t="str">
        <x:v>Not Started</x:v>
      </x:c>
      <x:c r="G355" s="36" t="n">
        <x:v>46395</x:v>
      </x:c>
      <x:c r="H355"/>
    </x:row>
    <x:row r="356">
      <x:c r="A356" t="n">
        <x:v>324</x:v>
      </x:c>
      <x:c r="B356" t="str">
        <x:v>Medium</x:v>
      </x:c>
      <x:c r="C356" t="n">
        <x:v>931</x:v>
      </x:c>
      <x:c r="D356" t="str">
        <x:v>Minimum Falling Path Sum</x:v>
      </x:c>
      <x:c r="E356" t="str">
        <x:v>https://leetcode.com/problems/minimum-falling-path-sum/</x:v>
      </x:c>
      <x:c r="F356" t="str">
        <x:v>Not Started</x:v>
      </x:c>
      <x:c r="G356" s="36" t="n">
        <x:v>46396</x:v>
      </x:c>
      <x:c r="H356"/>
    </x:row>
    <x:row r="357">
      <x:c r="A357" t="n">
        <x:v>325</x:v>
      </x:c>
      <x:c r="B357" t="str">
        <x:v>Medium</x:v>
      </x:c>
      <x:c r="C357" t="n">
        <x:v>221</x:v>
      </x:c>
      <x:c r="D357" t="str">
        <x:v>Maximal Square</x:v>
      </x:c>
      <x:c r="E357" t="str">
        <x:v>https://leetcode.com/problems/maximal-square/</x:v>
      </x:c>
      <x:c r="F357" t="str">
        <x:v>Not Started</x:v>
      </x:c>
      <x:c r="G357" s="36" t="n">
        <x:v>46396</x:v>
      </x:c>
      <x:c r="H357"/>
    </x:row>
    <x:row r="358">
      <x:c r="A358" t="n">
        <x:v>326</x:v>
      </x:c>
      <x:c r="B358" t="str">
        <x:v>Medium</x:v>
      </x:c>
      <x:c r="C358" t="n">
        <x:v>1277</x:v>
      </x:c>
      <x:c r="D358" t="str">
        <x:v>Count Square Submatrices with All Ones</x:v>
      </x:c>
      <x:c r="E358" t="str">
        <x:v>https://leetcode.com/problems/count-square-submatrices-with-all-ones/</x:v>
      </x:c>
      <x:c r="F358" t="str">
        <x:v>Not Started</x:v>
      </x:c>
      <x:c r="G358" s="36" t="n">
        <x:v>46396</x:v>
      </x:c>
      <x:c r="H358"/>
    </x:row>
    <x:row r="359">
      <x:c r="A359" t="n">
        <x:v>327</x:v>
      </x:c>
      <x:c r="B359" t="str">
        <x:v>Medium</x:v>
      </x:c>
      <x:c r="C359" t="n">
        <x:v>279</x:v>
      </x:c>
      <x:c r="D359" t="str">
        <x:v>Perfect Squares</x:v>
      </x:c>
      <x:c r="E359" t="str">
        <x:v>https://leetcode.com/problems/perfect-squares/</x:v>
      </x:c>
      <x:c r="F359" t="str">
        <x:v>Not Started</x:v>
      </x:c>
      <x:c r="G359" s="36" t="n">
        <x:v>46397</x:v>
      </x:c>
      <x:c r="H359"/>
    </x:row>
    <x:row r="360">
      <x:c r="A360" t="n">
        <x:v>328</x:v>
      </x:c>
      <x:c r="B360" t="str">
        <x:v>Medium</x:v>
      </x:c>
      <x:c r="C360" t="n">
        <x:v>343</x:v>
      </x:c>
      <x:c r="D360" t="str">
        <x:v>Integer Break</x:v>
      </x:c>
      <x:c r="E360" t="str">
        <x:v>https://leetcode.com/problems/integer-break/</x:v>
      </x:c>
      <x:c r="F360" t="str">
        <x:v>Not Started</x:v>
      </x:c>
      <x:c r="G360" s="36" t="n">
        <x:v>46397</x:v>
      </x:c>
      <x:c r="H360"/>
    </x:row>
    <x:row r="361">
      <x:c r="A361" t="n">
        <x:v>329</x:v>
      </x:c>
      <x:c r="B361" t="str">
        <x:v>Medium</x:v>
      </x:c>
      <x:c r="C361" t="n">
        <x:v>416</x:v>
      </x:c>
      <x:c r="D361" t="str">
        <x:v>Partition Equal Subset Sum</x:v>
      </x:c>
      <x:c r="E361" t="str">
        <x:v>https://leetcode.com/problems/partition-equal-subset-sum/</x:v>
      </x:c>
      <x:c r="F361" t="str">
        <x:v>Not Started</x:v>
      </x:c>
      <x:c r="G361" s="36" t="n">
        <x:v>46397</x:v>
      </x:c>
      <x:c r="H361"/>
    </x:row>
    <x:row r="362">
      <x:c r="A362" t="n">
        <x:v>330</x:v>
      </x:c>
      <x:c r="B362" t="str">
        <x:v>Medium</x:v>
      </x:c>
      <x:c r="C362" t="n">
        <x:v>494</x:v>
      </x:c>
      <x:c r="D362" t="str">
        <x:v>Target Sum</x:v>
      </x:c>
      <x:c r="E362" t="str">
        <x:v>https://leetcode.com/problems/target-sum/</x:v>
      </x:c>
      <x:c r="F362" t="str">
        <x:v>Not Started</x:v>
      </x:c>
      <x:c r="G362" s="36" t="n">
        <x:v>46398</x:v>
      </x:c>
      <x:c r="H362"/>
    </x:row>
    <x:row r="363">
      <x:c r="A363" t="n">
        <x:v>331</x:v>
      </x:c>
      <x:c r="B363" t="str">
        <x:v>Medium</x:v>
      </x:c>
      <x:c r="C363" t="n">
        <x:v>474</x:v>
      </x:c>
      <x:c r="D363" t="str">
        <x:v>Ones and Zeroes</x:v>
      </x:c>
      <x:c r="E363" t="str">
        <x:v>https://leetcode.com/problems/ones-and-zeroes/</x:v>
      </x:c>
      <x:c r="F363" t="str">
        <x:v>Not Started</x:v>
      </x:c>
      <x:c r="G363" s="36" t="n">
        <x:v>46398</x:v>
      </x:c>
      <x:c r="H363"/>
    </x:row>
    <x:row r="364">
      <x:c r="A364" t="n">
        <x:v>332</x:v>
      </x:c>
      <x:c r="B364" t="str">
        <x:v>Medium</x:v>
      </x:c>
      <x:c r="C364" t="n">
        <x:v>1049</x:v>
      </x:c>
      <x:c r="D364" t="str">
        <x:v>Last Stone Weight II</x:v>
      </x:c>
      <x:c r="E364" t="str">
        <x:v>https://leetcode.com/problems/last-stone-weight-ii/</x:v>
      </x:c>
      <x:c r="F364" t="str">
        <x:v>Not Started</x:v>
      </x:c>
      <x:c r="G364" s="36" t="n">
        <x:v>46398</x:v>
      </x:c>
      <x:c r="H364"/>
    </x:row>
    <x:row r="365">
      <x:c r="A365" t="n">
        <x:v>333</x:v>
      </x:c>
      <x:c r="B365" t="str">
        <x:v>Medium</x:v>
      </x:c>
      <x:c r="C365" t="n">
        <x:v>152</x:v>
      </x:c>
      <x:c r="D365" t="str">
        <x:v>Maximum Product Subarray</x:v>
      </x:c>
      <x:c r="E365" t="str">
        <x:v>https://leetcode.com/problems/maximum-product-subarray/</x:v>
      </x:c>
      <x:c r="F365" t="str">
        <x:v>Done</x:v>
      </x:c>
      <x:c r="G365" s="36"/>
      <x:c r="H365"/>
    </x:row>
    <x:row r="366">
      <x:c r="A366" t="n">
        <x:v>334</x:v>
      </x:c>
      <x:c r="B366" t="str">
        <x:v>Easy</x:v>
      </x:c>
      <x:c r="C366" t="n">
        <x:v>121</x:v>
      </x:c>
      <x:c r="D366" t="str">
        <x:v>Best Time to Buy and Sell Stock</x:v>
      </x:c>
      <x:c r="E366" t="str">
        <x:v>https://leetcode.com/problems/best-time-to-buy-and-sell-stock/</x:v>
      </x:c>
      <x:c r="F366" t="str">
        <x:v>Done</x:v>
      </x:c>
      <x:c r="G366" s="36"/>
      <x:c r="H366"/>
    </x:row>
    <x:row r="367">
      <x:c r="A367" t="n">
        <x:v>335</x:v>
      </x:c>
      <x:c r="B367" t="str">
        <x:v>Medium</x:v>
      </x:c>
      <x:c r="C367" t="n">
        <x:v>122</x:v>
      </x:c>
      <x:c r="D367" t="str">
        <x:v>Best Time to Buy and Sell Stock II</x:v>
      </x:c>
      <x:c r="E367" t="str">
        <x:v>https://leetcode.com/problems/best-time-to-buy-and-sell-stock-ii/</x:v>
      </x:c>
      <x:c r="F367" t="str">
        <x:v>Not Started</x:v>
      </x:c>
      <x:c r="G367" s="36" t="n">
        <x:v>46399</x:v>
      </x:c>
      <x:c r="H367"/>
    </x:row>
    <x:row r="368">
      <x:c r="A368" t="n">
        <x:v>336</x:v>
      </x:c>
      <x:c r="B368" t="str">
        <x:v>Hard</x:v>
      </x:c>
      <x:c r="C368" t="n">
        <x:v>123</x:v>
      </x:c>
      <x:c r="D368" t="str">
        <x:v>Best Time to Buy and Sell Stock III</x:v>
      </x:c>
      <x:c r="E368" t="str">
        <x:v>https://leetcode.com/problems/best-time-to-buy-and-sell-stock-iii/</x:v>
      </x:c>
      <x:c r="F368" t="str">
        <x:v>Not Started</x:v>
      </x:c>
      <x:c r="G368" s="36" t="n">
        <x:v>46399</x:v>
      </x:c>
      <x:c r="H368"/>
    </x:row>
    <x:row r="369">
      <x:c r="A369" t="n">
        <x:v>337</x:v>
      </x:c>
      <x:c r="B369" t="str">
        <x:v>Hard</x:v>
      </x:c>
      <x:c r="C369" t="n">
        <x:v>188</x:v>
      </x:c>
      <x:c r="D369" t="str">
        <x:v>Best Time to Buy and Sell Stock IV</x:v>
      </x:c>
      <x:c r="E369" t="str">
        <x:v>https://leetcode.com/problems/best-time-to-buy-and-sell-stock-iv/</x:v>
      </x:c>
      <x:c r="F369" t="str">
        <x:v>Not Started</x:v>
      </x:c>
      <x:c r="G369" s="36" t="n">
        <x:v>46399</x:v>
      </x:c>
      <x:c r="H369"/>
    </x:row>
    <x:row r="370">
      <x:c r="A370" t="n">
        <x:v>338</x:v>
      </x:c>
      <x:c r="B370" t="str">
        <x:v>Medium</x:v>
      </x:c>
      <x:c r="C370" t="n">
        <x:v>309</x:v>
      </x:c>
      <x:c r="D370" t="str">
        <x:v>Best Time to Buy and Sell Stock with Cooldown</x:v>
      </x:c>
      <x:c r="E370" t="str">
        <x:v>https://leetcode.com/problems/best-time-to-buy-and-sell-stock-with-cooldown/</x:v>
      </x:c>
      <x:c r="F370" t="str">
        <x:v>Not Started</x:v>
      </x:c>
      <x:c r="G370" s="36" t="n">
        <x:v>46400</x:v>
      </x:c>
      <x:c r="H370"/>
    </x:row>
    <x:row r="371">
      <x:c r="A371" t="n">
        <x:v>339</x:v>
      </x:c>
      <x:c r="B371" t="str">
        <x:v>Medium</x:v>
      </x:c>
      <x:c r="C371" t="n">
        <x:v>714</x:v>
      </x:c>
      <x:c r="D371" t="str">
        <x:v>Best Time to Buy and Sell Stock with Transaction Fee</x:v>
      </x:c>
      <x:c r="E371" t="str">
        <x:v>https://leetcode.com/problems/best-time-to-buy-and-sell-stock-with-transaction-fee/</x:v>
      </x:c>
      <x:c r="F371" t="str">
        <x:v>Not Started</x:v>
      </x:c>
      <x:c r="G371" s="36" t="n">
        <x:v>46400</x:v>
      </x:c>
      <x:c r="H371"/>
    </x:row>
    <x:row r="372">
      <x:c r="A372" t="n">
        <x:v>340</x:v>
      </x:c>
      <x:c r="B372" t="str">
        <x:v>Medium</x:v>
      </x:c>
      <x:c r="C372" t="n">
        <x:v>53</x:v>
      </x:c>
      <x:c r="D372" t="str">
        <x:v>Maximum Subarray</x:v>
      </x:c>
      <x:c r="E372" t="str">
        <x:v>https://leetcode.com/problems/maximum-subarray/</x:v>
      </x:c>
      <x:c r="F372" t="str">
        <x:v>Done</x:v>
      </x:c>
      <x:c r="G372" s="36"/>
      <x:c r="H372"/>
    </x:row>
    <x:row r="373">
      <x:c r="A373" t="n">
        <x:v>341</x:v>
      </x:c>
      <x:c r="B373" t="str">
        <x:v>Medium</x:v>
      </x:c>
      <x:c r="C373" t="n">
        <x:v>918</x:v>
      </x:c>
      <x:c r="D373" t="str">
        <x:v>Maximum Sum Circular Subarray</x:v>
      </x:c>
      <x:c r="E373" t="str">
        <x:v>https://leetcode.com/problems/maximum-sum-circular-subarray/</x:v>
      </x:c>
      <x:c r="F373" t="str">
        <x:v>Not Started</x:v>
      </x:c>
      <x:c r="G373" s="36" t="n">
        <x:v>46400</x:v>
      </x:c>
      <x:c r="H373"/>
    </x:row>
    <x:row r="374">
      <x:c r="A374" t="n">
        <x:v>342</x:v>
      </x:c>
      <x:c r="B374" t="str">
        <x:v>Medium</x:v>
      </x:c>
      <x:c r="C374" t="n">
        <x:v>516</x:v>
      </x:c>
      <x:c r="D374" t="str">
        <x:v>Longest Palindromic Subsequence</x:v>
      </x:c>
      <x:c r="E374" t="str">
        <x:v>https://leetcode.com/problems/longest-palindromic-subsequence/</x:v>
      </x:c>
      <x:c r="F374" t="str">
        <x:v>Not Started</x:v>
      </x:c>
      <x:c r="G374" s="36" t="n">
        <x:v>46401</x:v>
      </x:c>
      <x:c r="H374"/>
    </x:row>
    <x:row r="375">
      <x:c r="A375" t="n">
        <x:v>343</x:v>
      </x:c>
      <x:c r="B375" t="str">
        <x:v>Hard</x:v>
      </x:c>
      <x:c r="C375" t="n">
        <x:v>1312</x:v>
      </x:c>
      <x:c r="D375" t="str">
        <x:v>Minimum Insertion Steps to Make a String Palindrome</x:v>
      </x:c>
      <x:c r="E375" t="str">
        <x:v>https://leetcode.com/problems/minimum-insertion-steps-to-make-a-string-palindrome/</x:v>
      </x:c>
      <x:c r="F375" t="str">
        <x:v>Not Started</x:v>
      </x:c>
      <x:c r="G375" s="36" t="n">
        <x:v>46401</x:v>
      </x:c>
      <x:c r="H375"/>
    </x:row>
    <x:row r="376">
      <x:c r="A376" t="n">
        <x:v>344</x:v>
      </x:c>
      <x:c r="B376" t="str">
        <x:v>Medium</x:v>
      </x:c>
      <x:c r="C376" t="n">
        <x:v>97</x:v>
      </x:c>
      <x:c r="D376" t="str">
        <x:v>Interleaving String</x:v>
      </x:c>
      <x:c r="E376" t="str">
        <x:v>https://leetcode.com/problems/interleaving-string/</x:v>
      </x:c>
      <x:c r="F376" t="str">
        <x:v>Not Started</x:v>
      </x:c>
      <x:c r="G376" s="36" t="n">
        <x:v>46401</x:v>
      </x:c>
      <x:c r="H376"/>
    </x:row>
    <x:row r="377">
      <x:c r="A377" t="n">
        <x:v>345</x:v>
      </x:c>
      <x:c r="B377" t="str">
        <x:v>Medium</x:v>
      </x:c>
      <x:c r="C377" t="n">
        <x:v>1155</x:v>
      </x:c>
      <x:c r="D377" t="str">
        <x:v>Number of Dice Rolls With Target Sum</x:v>
      </x:c>
      <x:c r="E377" t="str">
        <x:v>https://leetcode.com/problems/number-of-dice-rolls-with-target-sum/</x:v>
      </x:c>
      <x:c r="F377" t="str">
        <x:v>Not Started</x:v>
      </x:c>
      <x:c r="G377" s="36" t="n">
        <x:v>46402</x:v>
      </x:c>
      <x:c r="H377"/>
    </x:row>
    <x:row r="378">
      <x:c r="A378" t="n">
        <x:v>346</x:v>
      </x:c>
      <x:c r="B378" t="str">
        <x:v>Medium</x:v>
      </x:c>
      <x:c r="C378" t="n">
        <x:v>1262</x:v>
      </x:c>
      <x:c r="D378" t="str">
        <x:v>Greatest Sum Divisible by Three</x:v>
      </x:c>
      <x:c r="E378" t="str">
        <x:v>https://leetcode.com/problems/greatest-sum-divisible-by-three/</x:v>
      </x:c>
      <x:c r="F378" t="str">
        <x:v>Not Started</x:v>
      </x:c>
      <x:c r="G378" s="36" t="n">
        <x:v>46402</x:v>
      </x:c>
      <x:c r="H378"/>
    </x:row>
    <x:row r="379">
      <x:c r="A379" t="n">
        <x:v>347</x:v>
      </x:c>
      <x:c r="B379" t="str">
        <x:v>Medium</x:v>
      </x:c>
      <x:c r="C379" t="n">
        <x:v>1395</x:v>
      </x:c>
      <x:c r="D379" t="str">
        <x:v>Count Number of Teams</x:v>
      </x:c>
      <x:c r="E379" t="str">
        <x:v>https://leetcode.com/problems/count-number-of-teams/</x:v>
      </x:c>
      <x:c r="F379" t="str">
        <x:v>Not Started</x:v>
      </x:c>
      <x:c r="G379" s="36" t="n">
        <x:v>46402</x:v>
      </x:c>
      <x:c r="H379"/>
    </x:row>
    <x:row r="380">
      <x:c r="A380" t="n">
        <x:v>348</x:v>
      </x:c>
      <x:c r="B380" t="str">
        <x:v>Hard</x:v>
      </x:c>
      <x:c r="C380" t="n">
        <x:v>140</x:v>
      </x:c>
      <x:c r="D380" t="str">
        <x:v>Word Break II</x:v>
      </x:c>
      <x:c r="E380" t="str">
        <x:v>https://leetcode.com/problems/word-break-ii/</x:v>
      </x:c>
      <x:c r="F380" t="str">
        <x:v>Not Started</x:v>
      </x:c>
      <x:c r="G380" s="36" t="n">
        <x:v>46403</x:v>
      </x:c>
      <x:c r="H380"/>
    </x:row>
    <x:row r="381">
      <x:c r="A381" t="n">
        <x:v>349</x:v>
      </x:c>
      <x:c r="B381" t="str">
        <x:v>Hard</x:v>
      </x:c>
      <x:c r="C381" t="n">
        <x:v>312</x:v>
      </x:c>
      <x:c r="D381" t="str">
        <x:v>Burst Balloons</x:v>
      </x:c>
      <x:c r="E381" t="str">
        <x:v>https://leetcode.com/problems/burst-balloons/</x:v>
      </x:c>
      <x:c r="F381" t="str">
        <x:v>Not Started</x:v>
      </x:c>
      <x:c r="G381" s="36" t="n">
        <x:v>46403</x:v>
      </x:c>
      <x:c r="H381"/>
    </x:row>
    <x:row r="382">
      <x:c r="A382" t="n">
        <x:v>350</x:v>
      </x:c>
      <x:c r="B382" t="str">
        <x:v>Hard</x:v>
      </x:c>
      <x:c r="C382" t="n">
        <x:v>887</x:v>
      </x:c>
      <x:c r="D382" t="str">
        <x:v>Super Egg Drop</x:v>
      </x:c>
      <x:c r="E382" t="str">
        <x:v>https://leetcode.com/problems/super-egg-drop/</x:v>
      </x:c>
      <x:c r="F382" t="str">
        <x:v>Not Started</x:v>
      </x:c>
      <x:c r="G382" s="36" t="n">
        <x:v>46403</x:v>
      </x:c>
      <x:c r="H382"/>
    </x:row>
    <x:row r="383">
      <x:c r="A383" t="n">
        <x:v>351</x:v>
      </x:c>
      <x:c r="B383" t="str">
        <x:v>Medium</x:v>
      </x:c>
      <x:c r="C383" t="n">
        <x:v>1140</x:v>
      </x:c>
      <x:c r="D383" t="str">
        <x:v>Stone Game II</x:v>
      </x:c>
      <x:c r="E383" t="str">
        <x:v>https://leetcode.com/problems/stone-game-ii/</x:v>
      </x:c>
      <x:c r="F383" t="str">
        <x:v>Not Started</x:v>
      </x:c>
      <x:c r="G383" s="36" t="n">
        <x:v>46404</x:v>
      </x:c>
      <x:c r="H383"/>
    </x:row>
    <x:row r="384">
      <x:c r="A384" t="n">
        <x:v>352</x:v>
      </x:c>
      <x:c r="B384" t="str">
        <x:v>Medium</x:v>
      </x:c>
      <x:c r="C384" t="n">
        <x:v>1690</x:v>
      </x:c>
      <x:c r="D384" t="str">
        <x:v>Stone Game VII</x:v>
      </x:c>
      <x:c r="E384" t="str">
        <x:v>https://leetcode.com/problems/stone-game-vii/</x:v>
      </x:c>
      <x:c r="F384" t="str">
        <x:v>Not Started</x:v>
      </x:c>
      <x:c r="G384" s="36" t="n">
        <x:v>46404</x:v>
      </x:c>
      <x:c r="H384"/>
    </x:row>
    <x:row r="385">
      <x:c r="A385" t="n">
        <x:v>353</x:v>
      </x:c>
      <x:c r="B385" t="str">
        <x:v>Medium</x:v>
      </x:c>
      <x:c r="C385" t="n">
        <x:v>1770</x:v>
      </x:c>
      <x:c r="D385" t="str">
        <x:v>Maximum Score from Performing Multiplication Operations</x:v>
      </x:c>
      <x:c r="E385" t="str">
        <x:v>https://leetcode.com/problems/maximum-score-from-performing-multiplication-operations/</x:v>
      </x:c>
      <x:c r="F385" t="str">
        <x:v>Not Started</x:v>
      </x:c>
      <x:c r="G385" s="36" t="n">
        <x:v>46404</x:v>
      </x:c>
      <x:c r="H385"/>
    </x:row>
    <x:row r="386">
      <x:c r="A386" t="n">
        <x:v>354</x:v>
      </x:c>
      <x:c r="B386" t="str">
        <x:v>Hard</x:v>
      </x:c>
      <x:c r="C386" t="n">
        <x:v>1547</x:v>
      </x:c>
      <x:c r="D386" t="str">
        <x:v>Minimum Cost to Cut a Stick</x:v>
      </x:c>
      <x:c r="E386" t="str">
        <x:v>https://leetcode.com/problems/minimum-cost-to-cut-a-stick/</x:v>
      </x:c>
      <x:c r="F386" t="str">
        <x:v>Not Started</x:v>
      </x:c>
      <x:c r="G386" s="36" t="n">
        <x:v>46405</x:v>
      </x:c>
      <x:c r="H386"/>
    </x:row>
    <x:row r="387">
      <x:c r="A387" t="n">
        <x:v>355</x:v>
      </x:c>
      <x:c r="B387" t="str">
        <x:v>Hard</x:v>
      </x:c>
      <x:c r="C387" t="n">
        <x:v>1000</x:v>
      </x:c>
      <x:c r="D387" t="str">
        <x:v>Minimum Cost to Merge Stones</x:v>
      </x:c>
      <x:c r="E387" t="str">
        <x:v>https://leetcode.com/problems/minimum-cost-to-merge-stones/</x:v>
      </x:c>
      <x:c r="F387" t="str">
        <x:v>Not Started</x:v>
      </x:c>
      <x:c r="G387" s="36" t="n">
        <x:v>46405</x:v>
      </x:c>
      <x:c r="H387"/>
    </x:row>
    <x:row r="388">
      <x:c r="A388" t="n">
        <x:v>356</x:v>
      </x:c>
      <x:c r="B388" t="str">
        <x:v>Hard</x:v>
      </x:c>
      <x:c r="C388" t="n">
        <x:v>329</x:v>
      </x:c>
      <x:c r="D388" t="str">
        <x:v>Longest Increasing Path in a Matrix</x:v>
      </x:c>
      <x:c r="E388" t="str">
        <x:v>https://leetcode.com/problems/longest-increasing-path-in-a-matrix/</x:v>
      </x:c>
      <x:c r="F388" t="str">
        <x:v>Not Started</x:v>
      </x:c>
      <x:c r="G388" s="36" t="n">
        <x:v>46405</x:v>
      </x:c>
      <x:c r="H388"/>
    </x:row>
    <x:row r="389">
      <x:c r="A389" t="n">
        <x:v>357</x:v>
      </x:c>
      <x:c r="B389" t="str">
        <x:v>Medium</x:v>
      </x:c>
      <x:c r="C389" t="n">
        <x:v>576</x:v>
      </x:c>
      <x:c r="D389" t="str">
        <x:v>Out of Boundary Paths</x:v>
      </x:c>
      <x:c r="E389" t="str">
        <x:v>https://leetcode.com/problems/out-of-boundary-paths/</x:v>
      </x:c>
      <x:c r="F389" t="str">
        <x:v>Not Started</x:v>
      </x:c>
      <x:c r="G389" s="36" t="n">
        <x:v>46406</x:v>
      </x:c>
      <x:c r="H389"/>
    </x:row>
    <x:row r="390">
      <x:c r="A390" t="n">
        <x:v>358</x:v>
      </x:c>
      <x:c r="B390" t="str">
        <x:v>Medium</x:v>
      </x:c>
      <x:c r="C390" t="n">
        <x:v>688</x:v>
      </x:c>
      <x:c r="D390" t="str">
        <x:v>Knight Probability in Chessboard</x:v>
      </x:c>
      <x:c r="E390" t="str">
        <x:v>https://leetcode.com/problems/knight-probability-in-chessboard/</x:v>
      </x:c>
      <x:c r="F390" t="str">
        <x:v>Not Started</x:v>
      </x:c>
      <x:c r="G390" s="36" t="n">
        <x:v>46406</x:v>
      </x:c>
      <x:c r="H390"/>
    </x:row>
    <x:row r="391">
      <x:c r="A391" t="n">
        <x:v>359</x:v>
      </x:c>
      <x:c r="B391" t="str">
        <x:v>Medium</x:v>
      </x:c>
      <x:c r="C391" t="n">
        <x:v>935</x:v>
      </x:c>
      <x:c r="D391" t="str">
        <x:v>Knight Dialer</x:v>
      </x:c>
      <x:c r="E391" t="str">
        <x:v>https://leetcode.com/problems/knight-dialer/</x:v>
      </x:c>
      <x:c r="F391" t="str">
        <x:v>Not Started</x:v>
      </x:c>
      <x:c r="G391" s="36" t="n">
        <x:v>46406</x:v>
      </x:c>
      <x:c r="H391"/>
    </x:row>
    <x:row r="392">
      <x:c r="A392" t="n">
        <x:v>360</x:v>
      </x:c>
      <x:c r="B392" t="str">
        <x:v>Medium</x:v>
      </x:c>
      <x:c r="C392" t="n">
        <x:v>983</x:v>
      </x:c>
      <x:c r="D392" t="str">
        <x:v>Minimum Cost For Tickets</x:v>
      </x:c>
      <x:c r="E392" t="str">
        <x:v>https://leetcode.com/problems/minimum-cost-for-tickets/</x:v>
      </x:c>
      <x:c r="F392" t="str">
        <x:v>Not Started</x:v>
      </x:c>
      <x:c r="G392" s="36" t="n">
        <x:v>46407</x:v>
      </x:c>
      <x:c r="H392"/>
    </x:row>
    <x:row r="393">
      <x:c r="A393" t="n">
        <x:v>361</x:v>
      </x:c>
      <x:c r="B393" t="str">
        <x:v>Medium</x:v>
      </x:c>
      <x:c r="C393" t="n">
        <x:v>1027</x:v>
      </x:c>
      <x:c r="D393" t="str">
        <x:v>Longest Arithmetic Subsequence</x:v>
      </x:c>
      <x:c r="E393" t="str">
        <x:v>https://leetcode.com/problems/longest-arithmetic-subsequence/</x:v>
      </x:c>
      <x:c r="F393" t="str">
        <x:v>Not Started</x:v>
      </x:c>
      <x:c r="G393" s="36" t="n">
        <x:v>46407</x:v>
      </x:c>
      <x:c r="H393"/>
    </x:row>
    <x:row r="394">
      <x:c r="A394" t="n">
        <x:v>362</x:v>
      </x:c>
      <x:c r="B394" t="str">
        <x:v>Medium</x:v>
      </x:c>
      <x:c r="C394" t="n">
        <x:v>1048</x:v>
      </x:c>
      <x:c r="D394" t="str">
        <x:v>Longest String Chain</x:v>
      </x:c>
      <x:c r="E394" t="str">
        <x:v>https://leetcode.com/problems/longest-string-chain/</x:v>
      </x:c>
      <x:c r="F394" t="str">
        <x:v>Not Started</x:v>
      </x:c>
      <x:c r="G394" s="36" t="n">
        <x:v>46407</x:v>
      </x:c>
      <x:c r="H394"/>
    </x:row>
    <x:row r="395">
      <x:c r="A395" t="n">
        <x:v>363</x:v>
      </x:c>
      <x:c r="B395" t="str">
        <x:v>Medium</x:v>
      </x:c>
      <x:c r="C395" t="n">
        <x:v>1105</x:v>
      </x:c>
      <x:c r="D395" t="str">
        <x:v>Filling Bookcase Shelves</x:v>
      </x:c>
      <x:c r="E395" t="str">
        <x:v>https://leetcode.com/problems/filling-bookcase-shelves/</x:v>
      </x:c>
      <x:c r="F395" t="str">
        <x:v>Not Started</x:v>
      </x:c>
      <x:c r="G395" s="36" t="n">
        <x:v>46408</x:v>
      </x:c>
      <x:c r="H395"/>
    </x:row>
    <x:row r="396">
      <x:c r="A396" t="n">
        <x:v>364</x:v>
      </x:c>
      <x:c r="B396" t="str">
        <x:v>Medium</x:v>
      </x:c>
      <x:c r="C396" t="n">
        <x:v>1130</x:v>
      </x:c>
      <x:c r="D396" t="str">
        <x:v>Minimum Cost Tree From Leaf Values</x:v>
      </x:c>
      <x:c r="E396" t="str">
        <x:v>https://leetcode.com/problems/minimum-cost-tree-from-leaf-values/</x:v>
      </x:c>
      <x:c r="F396" t="str">
        <x:v>Not Started</x:v>
      </x:c>
      <x:c r="G396" s="36" t="n">
        <x:v>46408</x:v>
      </x:c>
      <x:c r="H396"/>
    </x:row>
    <x:row r="397">
      <x:c r="A397" t="n">
        <x:v>365</x:v>
      </x:c>
      <x:c r="B397" t="str">
        <x:v>Hard</x:v>
      </x:c>
      <x:c r="C397" t="n">
        <x:v>1235</x:v>
      </x:c>
      <x:c r="D397" t="str">
        <x:v>Maximum Profit in Job Scheduling</x:v>
      </x:c>
      <x:c r="E397" t="str">
        <x:v>https://leetcode.com/problems/maximum-profit-in-job-scheduling/</x:v>
      </x:c>
      <x:c r="F397" t="str">
        <x:v>Not Started</x:v>
      </x:c>
      <x:c r="G397" s="36" t="n">
        <x:v>46408</x:v>
      </x:c>
      <x:c r="H397"/>
    </x:row>
    <x:row r="398">
      <x:c r="A398"/>
      <x:c r="B398"/>
      <x:c r="C398"/>
      <x:c r="D398"/>
      <x:c r="E398"/>
      <x:c r="F398"/>
      <x:c r="G398"/>
      <x:c r="H398"/>
    </x:row>
    <x:row r="399">
      <x:c r="A399"/>
      <x:c r="B399"/>
      <x:c r="C399"/>
      <x:c r="D399"/>
      <x:c r="E399"/>
      <x:c r="F399"/>
      <x:c r="G399"/>
      <x:c r="H399"/>
    </x:row>
    <x:row r="400">
      <x:c r="A400" s="220" t="str">
        <x:v>Greedy / Intervals  —  30 problems</x:v>
      </x:c>
      <x:c r="B400" s="220"/>
      <x:c r="C400" s="220"/>
      <x:c r="D400" s="220"/>
      <x:c r="E400" s="220"/>
      <x:c r="F400" s="220"/>
      <x:c r="G400" s="220"/>
      <x:c r="H400" s="220"/>
    </x:row>
    <x:row r="401">
      <x:c r="A401" s="224" t="str">
        <x:v>Seq</x:v>
      </x:c>
      <x:c r="B401" s="224" t="str">
        <x:v>Difficulty</x:v>
      </x:c>
      <x:c r="C401" s="224" t="str">
        <x:v>LC ID</x:v>
      </x:c>
      <x:c r="D401" s="224" t="str">
        <x:v>Problem Title</x:v>
      </x:c>
      <x:c r="E401" s="224" t="str">
        <x:v>Problem URL</x:v>
      </x:c>
      <x:c r="F401" s="224" t="str">
        <x:v>Status</x:v>
      </x:c>
      <x:c r="G401" s="224" t="str">
        <x:v>Planned Date</x:v>
      </x:c>
      <x:c r="H401" s="224" t="str">
        <x:v>Notes</x:v>
      </x:c>
    </x:row>
    <x:row r="402">
      <x:c r="A402" t="n">
        <x:v>366</x:v>
      </x:c>
      <x:c r="B402" t="str">
        <x:v>Medium</x:v>
      </x:c>
      <x:c r="C402" t="n">
        <x:v>55</x:v>
      </x:c>
      <x:c r="D402" t="str">
        <x:v>Jump Game</x:v>
      </x:c>
      <x:c r="E402" t="str">
        <x:v>https://leetcode.com/problems/jump-game/</x:v>
      </x:c>
      <x:c r="F402" t="str">
        <x:v>Not Started</x:v>
      </x:c>
      <x:c r="G402" s="36" t="n">
        <x:v>46409</x:v>
      </x:c>
      <x:c r="H402"/>
    </x:row>
    <x:row r="403">
      <x:c r="A403" t="n">
        <x:v>367</x:v>
      </x:c>
      <x:c r="B403" t="str">
        <x:v>Medium</x:v>
      </x:c>
      <x:c r="C403" t="n">
        <x:v>45</x:v>
      </x:c>
      <x:c r="D403" t="str">
        <x:v>Jump Game II</x:v>
      </x:c>
      <x:c r="E403" t="str">
        <x:v>https://leetcode.com/problems/jump-game-ii/</x:v>
      </x:c>
      <x:c r="F403" t="str">
        <x:v>Not Started</x:v>
      </x:c>
      <x:c r="G403" s="36" t="n">
        <x:v>46409</x:v>
      </x:c>
      <x:c r="H403"/>
    </x:row>
    <x:row r="404">
      <x:c r="A404" t="n">
        <x:v>368</x:v>
      </x:c>
      <x:c r="B404" t="str">
        <x:v>Medium</x:v>
      </x:c>
      <x:c r="C404" t="n">
        <x:v>134</x:v>
      </x:c>
      <x:c r="D404" t="str">
        <x:v>Gas Station</x:v>
      </x:c>
      <x:c r="E404" t="str">
        <x:v>https://leetcode.com/problems/gas-station/</x:v>
      </x:c>
      <x:c r="F404" t="str">
        <x:v>Not Started</x:v>
      </x:c>
      <x:c r="G404" s="36" t="n">
        <x:v>46409</x:v>
      </x:c>
      <x:c r="H404"/>
    </x:row>
    <x:row r="405">
      <x:c r="A405" t="n">
        <x:v>369</x:v>
      </x:c>
      <x:c r="B405" t="str">
        <x:v>Hard</x:v>
      </x:c>
      <x:c r="C405" t="n">
        <x:v>135</x:v>
      </x:c>
      <x:c r="D405" t="str">
        <x:v>Candy</x:v>
      </x:c>
      <x:c r="E405" t="str">
        <x:v>https://leetcode.com/problems/candy/</x:v>
      </x:c>
      <x:c r="F405" t="str">
        <x:v>Not Started</x:v>
      </x:c>
      <x:c r="G405" s="36" t="n">
        <x:v>46410</x:v>
      </x:c>
      <x:c r="H405"/>
    </x:row>
    <x:row r="406">
      <x:c r="A406" t="n">
        <x:v>370</x:v>
      </x:c>
      <x:c r="B406" t="str">
        <x:v>Medium</x:v>
      </x:c>
      <x:c r="C406" t="n">
        <x:v>435</x:v>
      </x:c>
      <x:c r="D406" t="str">
        <x:v>Non-overlapping Intervals</x:v>
      </x:c>
      <x:c r="E406" t="str">
        <x:v>https://leetcode.com/problems/non-overlapping-intervals/</x:v>
      </x:c>
      <x:c r="F406" t="str">
        <x:v>Not Started</x:v>
      </x:c>
      <x:c r="G406" s="36" t="n">
        <x:v>46410</x:v>
      </x:c>
      <x:c r="H406"/>
    </x:row>
    <x:row r="407">
      <x:c r="A407" t="n">
        <x:v>371</x:v>
      </x:c>
      <x:c r="B407" t="str">
        <x:v>Medium</x:v>
      </x:c>
      <x:c r="C407" t="n">
        <x:v>452</x:v>
      </x:c>
      <x:c r="D407" t="str">
        <x:v>Minimum Number of Arrows to Burst Balloons</x:v>
      </x:c>
      <x:c r="E407" t="str">
        <x:v>https://leetcode.com/problems/minimum-number-of-arrows-to-burst-balloons/</x:v>
      </x:c>
      <x:c r="F407" t="str">
        <x:v>Not Started</x:v>
      </x:c>
      <x:c r="G407" s="36" t="n">
        <x:v>46410</x:v>
      </x:c>
      <x:c r="H407"/>
    </x:row>
    <x:row r="408">
      <x:c r="A408" t="n">
        <x:v>372</x:v>
      </x:c>
      <x:c r="B408" t="str">
        <x:v>Medium</x:v>
      </x:c>
      <x:c r="C408" t="n">
        <x:v>763</x:v>
      </x:c>
      <x:c r="D408" t="str">
        <x:v>Partition Labels</x:v>
      </x:c>
      <x:c r="E408" t="str">
        <x:v>https://leetcode.com/problems/partition-labels/</x:v>
      </x:c>
      <x:c r="F408" t="str">
        <x:v>Not Started</x:v>
      </x:c>
      <x:c r="G408" s="36" t="n">
        <x:v>46411</x:v>
      </x:c>
      <x:c r="H408"/>
    </x:row>
    <x:row r="409">
      <x:c r="A409" t="n">
        <x:v>373</x:v>
      </x:c>
      <x:c r="B409" t="str">
        <x:v>Medium</x:v>
      </x:c>
      <x:c r="C409" t="n">
        <x:v>621</x:v>
      </x:c>
      <x:c r="D409" t="str">
        <x:v>Task Scheduler</x:v>
      </x:c>
      <x:c r="E409" t="str">
        <x:v>https://leetcode.com/problems/task-scheduler/</x:v>
      </x:c>
      <x:c r="F409" t="str">
        <x:v>Not Started</x:v>
      </x:c>
      <x:c r="G409" s="36" t="n">
        <x:v>46411</x:v>
      </x:c>
      <x:c r="H409"/>
    </x:row>
    <x:row r="410">
      <x:c r="A410" t="n">
        <x:v>374</x:v>
      </x:c>
      <x:c r="B410" t="str">
        <x:v>Easy</x:v>
      </x:c>
      <x:c r="C410" t="n">
        <x:v>455</x:v>
      </x:c>
      <x:c r="D410" t="str">
        <x:v>Assign Cookies</x:v>
      </x:c>
      <x:c r="E410" t="str">
        <x:v>https://leetcode.com/problems/assign-cookies/</x:v>
      </x:c>
      <x:c r="F410" t="str">
        <x:v>Not Started</x:v>
      </x:c>
      <x:c r="G410" s="36" t="n">
        <x:v>46411</x:v>
      </x:c>
      <x:c r="H410"/>
    </x:row>
    <x:row r="411">
      <x:c r="A411" t="n">
        <x:v>375</x:v>
      </x:c>
      <x:c r="B411" t="str">
        <x:v>Easy</x:v>
      </x:c>
      <x:c r="C411" t="n">
        <x:v>860</x:v>
      </x:c>
      <x:c r="D411" t="str">
        <x:v>Lemonade Change</x:v>
      </x:c>
      <x:c r="E411" t="str">
        <x:v>https://leetcode.com/problems/lemonade-change/</x:v>
      </x:c>
      <x:c r="F411" t="str">
        <x:v>Not Started</x:v>
      </x:c>
      <x:c r="G411" s="36" t="n">
        <x:v>46412</x:v>
      </x:c>
      <x:c r="H411"/>
    </x:row>
    <x:row r="412">
      <x:c r="A412" t="n">
        <x:v>376</x:v>
      </x:c>
      <x:c r="B412" t="str">
        <x:v>Easy</x:v>
      </x:c>
      <x:c r="C412" t="n">
        <x:v>942</x:v>
      </x:c>
      <x:c r="D412" t="str">
        <x:v>DI String Match</x:v>
      </x:c>
      <x:c r="E412" t="str">
        <x:v>https://leetcode.com/problems/di-string-match/</x:v>
      </x:c>
      <x:c r="F412" t="str">
        <x:v>Not Started</x:v>
      </x:c>
      <x:c r="G412" s="36" t="n">
        <x:v>46412</x:v>
      </x:c>
      <x:c r="H412"/>
    </x:row>
    <x:row r="413">
      <x:c r="A413" t="n">
        <x:v>377</x:v>
      </x:c>
      <x:c r="B413" t="str">
        <x:v>Easy</x:v>
      </x:c>
      <x:c r="C413" t="n">
        <x:v>1005</x:v>
      </x:c>
      <x:c r="D413" t="str">
        <x:v>Maximize Sum Of Array After K Negations</x:v>
      </x:c>
      <x:c r="E413" t="str">
        <x:v>https://leetcode.com/problems/maximize-sum-of-array-after-k-negations/</x:v>
      </x:c>
      <x:c r="F413" t="str">
        <x:v>Not Started</x:v>
      </x:c>
      <x:c r="G413" s="36" t="n">
        <x:v>46412</x:v>
      </x:c>
      <x:c r="H413"/>
    </x:row>
    <x:row r="414">
      <x:c r="A414" t="n">
        <x:v>378</x:v>
      </x:c>
      <x:c r="B414" t="str">
        <x:v>Medium</x:v>
      </x:c>
      <x:c r="C414" t="n">
        <x:v>1029</x:v>
      </x:c>
      <x:c r="D414" t="str">
        <x:v>Two City Scheduling</x:v>
      </x:c>
      <x:c r="E414" t="str">
        <x:v>https://leetcode.com/problems/two-city-scheduling/</x:v>
      </x:c>
      <x:c r="F414" t="str">
        <x:v>Not Started</x:v>
      </x:c>
      <x:c r="G414" s="36" t="n">
        <x:v>46413</x:v>
      </x:c>
      <x:c r="H414"/>
    </x:row>
    <x:row r="415">
      <x:c r="A415" t="n">
        <x:v>379</x:v>
      </x:c>
      <x:c r="B415" t="str">
        <x:v>Easy</x:v>
      </x:c>
      <x:c r="C415" t="n">
        <x:v>1196</x:v>
      </x:c>
      <x:c r="D415" t="str">
        <x:v>How Many Apples Can You Put into the Basket</x:v>
      </x:c>
      <x:c r="E415" t="str">
        <x:v>https://leetcode.com/problems/how-many-apples-can-you-put-into-the-basket/</x:v>
      </x:c>
      <x:c r="F415" t="str">
        <x:v>Not Started</x:v>
      </x:c>
      <x:c r="G415" s="36" t="n">
        <x:v>46413</x:v>
      </x:c>
      <x:c r="H415"/>
    </x:row>
    <x:row r="416">
      <x:c r="A416" t="n">
        <x:v>380</x:v>
      </x:c>
      <x:c r="B416" t="str">
        <x:v>Easy</x:v>
      </x:c>
      <x:c r="C416" t="n">
        <x:v>1403</x:v>
      </x:c>
      <x:c r="D416" t="str">
        <x:v>Minimum Subsequence in Non-Increasing Order</x:v>
      </x:c>
      <x:c r="E416" t="str">
        <x:v>https://leetcode.com/problems/minimum-subsequence-in-non-increasing-order/</x:v>
      </x:c>
      <x:c r="F416" t="str">
        <x:v>Not Started</x:v>
      </x:c>
      <x:c r="G416" s="36" t="n">
        <x:v>46413</x:v>
      </x:c>
      <x:c r="H416"/>
    </x:row>
    <x:row r="417">
      <x:c r="A417" t="n">
        <x:v>381</x:v>
      </x:c>
      <x:c r="B417" t="str">
        <x:v>Medium</x:v>
      </x:c>
      <x:c r="C417" t="n">
        <x:v>1561</x:v>
      </x:c>
      <x:c r="D417" t="str">
        <x:v>Maximum Number of Coins You Can Get</x:v>
      </x:c>
      <x:c r="E417" t="str">
        <x:v>https://leetcode.com/problems/maximum-number-of-coins-you-can-get/</x:v>
      </x:c>
      <x:c r="F417" t="str">
        <x:v>Not Started</x:v>
      </x:c>
      <x:c r="G417" s="36" t="n">
        <x:v>46414</x:v>
      </x:c>
      <x:c r="H417"/>
    </x:row>
    <x:row r="418">
      <x:c r="A418" t="n">
        <x:v>382</x:v>
      </x:c>
      <x:c r="B418" t="str">
        <x:v>Easy</x:v>
      </x:c>
      <x:c r="C418" t="n">
        <x:v>1710</x:v>
      </x:c>
      <x:c r="D418" t="str">
        <x:v>Maximum Units on a Truck</x:v>
      </x:c>
      <x:c r="E418" t="str">
        <x:v>https://leetcode.com/problems/maximum-units-on-a-truck/</x:v>
      </x:c>
      <x:c r="F418" t="str">
        <x:v>Not Started</x:v>
      </x:c>
      <x:c r="G418" s="36" t="n">
        <x:v>46414</x:v>
      </x:c>
      <x:c r="H418"/>
    </x:row>
    <x:row r="419">
      <x:c r="A419" t="n">
        <x:v>383</x:v>
      </x:c>
      <x:c r="B419" t="str">
        <x:v>Medium</x:v>
      </x:c>
      <x:c r="C419" t="n">
        <x:v>1833</x:v>
      </x:c>
      <x:c r="D419" t="str">
        <x:v>Maximum Ice Cream Bars</x:v>
      </x:c>
      <x:c r="E419" t="str">
        <x:v>https://leetcode.com/problems/maximum-ice-cream-bars/</x:v>
      </x:c>
      <x:c r="F419" t="str">
        <x:v>Not Started</x:v>
      </x:c>
      <x:c r="G419" s="36" t="n">
        <x:v>46414</x:v>
      </x:c>
      <x:c r="H419"/>
    </x:row>
    <x:row r="420">
      <x:c r="A420" t="n">
        <x:v>384</x:v>
      </x:c>
      <x:c r="B420" t="str">
        <x:v>Medium</x:v>
      </x:c>
      <x:c r="C420" t="n">
        <x:v>1899</x:v>
      </x:c>
      <x:c r="D420" t="str">
        <x:v>Merge Triplets to Form Target Triplet</x:v>
      </x:c>
      <x:c r="E420" t="str">
        <x:v>https://leetcode.com/problems/merge-triplets-to-form-target-triplet/</x:v>
      </x:c>
      <x:c r="F420" t="str">
        <x:v>Not Started</x:v>
      </x:c>
      <x:c r="G420" s="36" t="n">
        <x:v>46415</x:v>
      </x:c>
      <x:c r="H420"/>
    </x:row>
    <x:row r="421">
      <x:c r="A421" t="n">
        <x:v>385</x:v>
      </x:c>
      <x:c r="B421" t="str">
        <x:v>Easy</x:v>
      </x:c>
      <x:c r="C421" t="n">
        <x:v>1903</x:v>
      </x:c>
      <x:c r="D421" t="str">
        <x:v>Largest Odd Number in String</x:v>
      </x:c>
      <x:c r="E421" t="str">
        <x:v>https://leetcode.com/problems/largest-odd-number-in-string/</x:v>
      </x:c>
      <x:c r="F421" t="str">
        <x:v>Not Started</x:v>
      </x:c>
      <x:c r="G421" s="36" t="n">
        <x:v>46415</x:v>
      </x:c>
      <x:c r="H421"/>
    </x:row>
    <x:row r="422">
      <x:c r="A422" t="n">
        <x:v>386</x:v>
      </x:c>
      <x:c r="B422" t="str">
        <x:v>Easy</x:v>
      </x:c>
      <x:c r="C422" t="n">
        <x:v>2037</x:v>
      </x:c>
      <x:c r="D422" t="str">
        <x:v>Minimum Number of Moves to Seat Everyone</x:v>
      </x:c>
      <x:c r="E422" t="str">
        <x:v>https://leetcode.com/problems/minimum-number-of-moves-to-seat-everyone/</x:v>
      </x:c>
      <x:c r="F422" t="str">
        <x:v>Not Started</x:v>
      </x:c>
      <x:c r="G422" s="36" t="n">
        <x:v>46415</x:v>
      </x:c>
      <x:c r="H422"/>
    </x:row>
    <x:row r="423">
      <x:c r="A423" t="n">
        <x:v>387</x:v>
      </x:c>
      <x:c r="B423" t="str">
        <x:v>Easy</x:v>
      </x:c>
      <x:c r="C423" t="n">
        <x:v>2144</x:v>
      </x:c>
      <x:c r="D423" t="str">
        <x:v>Minimum Cost of Buying Candies With Discount</x:v>
      </x:c>
      <x:c r="E423" t="str">
        <x:v>https://leetcode.com/problems/minimum-cost-of-buying-candies-with-discount/</x:v>
      </x:c>
      <x:c r="F423" t="str">
        <x:v>Not Started</x:v>
      </x:c>
      <x:c r="G423" s="36" t="n">
        <x:v>46416</x:v>
      </x:c>
      <x:c r="H423"/>
    </x:row>
    <x:row r="424">
      <x:c r="A424" t="n">
        <x:v>388</x:v>
      </x:c>
      <x:c r="B424" t="str">
        <x:v>Easy</x:v>
      </x:c>
      <x:c r="C424" t="n">
        <x:v>2160</x:v>
      </x:c>
      <x:c r="D424" t="str">
        <x:v>Minimum Sum of Four Digit Number After Splitting Digits</x:v>
      </x:c>
      <x:c r="E424" t="str">
        <x:v>https://leetcode.com/problems/minimum-sum-of-four-digit-number-after-splitting-digits/</x:v>
      </x:c>
      <x:c r="F424" t="str">
        <x:v>Not Started</x:v>
      </x:c>
      <x:c r="G424" s="36" t="n">
        <x:v>46416</x:v>
      </x:c>
      <x:c r="H424"/>
    </x:row>
    <x:row r="425">
      <x:c r="A425" t="n">
        <x:v>389</x:v>
      </x:c>
      <x:c r="B425" t="str">
        <x:v>Easy</x:v>
      </x:c>
      <x:c r="C425" t="n">
        <x:v>2264</x:v>
      </x:c>
      <x:c r="D425" t="str">
        <x:v>Largest 3-Same-Digit Number in String</x:v>
      </x:c>
      <x:c r="E425" t="str">
        <x:v>https://leetcode.com/problems/largest-3-same-digit-number-in-string/</x:v>
      </x:c>
      <x:c r="F425" t="str">
        <x:v>Not Started</x:v>
      </x:c>
      <x:c r="G425" s="36" t="n">
        <x:v>46416</x:v>
      </x:c>
      <x:c r="H425"/>
    </x:row>
    <x:row r="426">
      <x:c r="A426" t="n">
        <x:v>390</x:v>
      </x:c>
      <x:c r="B426" t="str">
        <x:v>Medium</x:v>
      </x:c>
      <x:c r="C426" t="n">
        <x:v>2279</x:v>
      </x:c>
      <x:c r="D426" t="str">
        <x:v>Maximum Bags With Full Capacity of Rocks</x:v>
      </x:c>
      <x:c r="E426" t="str">
        <x:v>https://leetcode.com/problems/maximum-bags-with-full-capacity-of-rocks/</x:v>
      </x:c>
      <x:c r="F426" t="str">
        <x:v>Not Started</x:v>
      </x:c>
      <x:c r="G426" s="36" t="n">
        <x:v>46417</x:v>
      </x:c>
      <x:c r="H426"/>
    </x:row>
    <x:row r="427">
      <x:c r="A427" t="n">
        <x:v>391</x:v>
      </x:c>
      <x:c r="B427" t="str">
        <x:v>Medium</x:v>
      </x:c>
      <x:c r="C427" t="n">
        <x:v>2294</x:v>
      </x:c>
      <x:c r="D427" t="str">
        <x:v>Partition Array Such That Maximum Difference Is K</x:v>
      </x:c>
      <x:c r="E427" t="str">
        <x:v>https://leetcode.com/problems/partition-array-such-that-maximum-difference-is-k/</x:v>
      </x:c>
      <x:c r="F427" t="str">
        <x:v>Not Started</x:v>
      </x:c>
      <x:c r="G427" s="36" t="n">
        <x:v>46417</x:v>
      </x:c>
      <x:c r="H427"/>
    </x:row>
    <x:row r="428">
      <x:c r="A428" t="n">
        <x:v>392</x:v>
      </x:c>
      <x:c r="B428" t="str">
        <x:v>Easy</x:v>
      </x:c>
      <x:c r="C428" t="n">
        <x:v>2367</x:v>
      </x:c>
      <x:c r="D428" t="str">
        <x:v>Number of Arithmetic Triplets</x:v>
      </x:c>
      <x:c r="E428" t="str">
        <x:v>https://leetcode.com/problems/number-of-arithmetic-triplets/</x:v>
      </x:c>
      <x:c r="F428" t="str">
        <x:v>Not Started</x:v>
      </x:c>
      <x:c r="G428" s="36" t="n">
        <x:v>46417</x:v>
      </x:c>
      <x:c r="H428"/>
    </x:row>
    <x:row r="429">
      <x:c r="A429" t="n">
        <x:v>393</x:v>
      </x:c>
      <x:c r="B429" t="str">
        <x:v>Easy</x:v>
      </x:c>
      <x:c r="C429" t="n">
        <x:v>2418</x:v>
      </x:c>
      <x:c r="D429" t="str">
        <x:v>Sort the People</x:v>
      </x:c>
      <x:c r="E429" t="str">
        <x:v>https://leetcode.com/problems/sort-the-people/</x:v>
      </x:c>
      <x:c r="F429" t="str">
        <x:v>Not Started</x:v>
      </x:c>
      <x:c r="G429" s="36" t="n">
        <x:v>46418</x:v>
      </x:c>
      <x:c r="H429"/>
    </x:row>
    <x:row r="430">
      <x:c r="A430" t="n">
        <x:v>394</x:v>
      </x:c>
      <x:c r="B430" t="str">
        <x:v>Easy</x:v>
      </x:c>
      <x:c r="C430" t="n">
        <x:v>2441</x:v>
      </x:c>
      <x:c r="D430" t="str">
        <x:v>Largest Positive Integer That Exists With Its Negative</x:v>
      </x:c>
      <x:c r="E430" t="str">
        <x:v>https://leetcode.com/problems/largest-positive-integer-that-exists-with-its-negative/</x:v>
      </x:c>
      <x:c r="F430" t="str">
        <x:v>Not Started</x:v>
      </x:c>
      <x:c r="G430" s="36" t="n">
        <x:v>46418</x:v>
      </x:c>
      <x:c r="H430"/>
    </x:row>
    <x:row r="431">
      <x:c r="A431" t="n">
        <x:v>395</x:v>
      </x:c>
      <x:c r="B431" t="str">
        <x:v>Easy</x:v>
      </x:c>
      <x:c r="C431" t="n">
        <x:v>2540</x:v>
      </x:c>
      <x:c r="D431" t="str">
        <x:v>Minimum Common Value</x:v>
      </x:c>
      <x:c r="E431" t="str">
        <x:v>https://leetcode.com/problems/minimum-common-value/</x:v>
      </x:c>
      <x:c r="F431" t="str">
        <x:v>Not Started</x:v>
      </x:c>
      <x:c r="G431" s="36" t="n">
        <x:v>46418</x:v>
      </x:c>
      <x:c r="H431"/>
    </x:row>
    <x:row r="432">
      <x:c r="A432"/>
      <x:c r="B432"/>
      <x:c r="C432"/>
      <x:c r="D432"/>
      <x:c r="E432"/>
      <x:c r="F432"/>
      <x:c r="G432"/>
      <x:c r="H432"/>
    </x:row>
    <x:row r="433">
      <x:c r="A433"/>
      <x:c r="B433"/>
      <x:c r="C433"/>
      <x:c r="D433"/>
      <x:c r="E433"/>
      <x:c r="F433"/>
      <x:c r="G433"/>
      <x:c r="H433"/>
    </x:row>
    <x:row r="434">
      <x:c r="A434" s="220" t="str">
        <x:v>Heap / Priority Queue  —  25 problems</x:v>
      </x:c>
      <x:c r="B434" s="220"/>
      <x:c r="C434" s="220"/>
      <x:c r="D434" s="220"/>
      <x:c r="E434" s="220"/>
      <x:c r="F434" s="220"/>
      <x:c r="G434" s="220"/>
      <x:c r="H434" s="220"/>
    </x:row>
    <x:row r="435">
      <x:c r="A435" s="224" t="str">
        <x:v>Seq</x:v>
      </x:c>
      <x:c r="B435" s="224" t="str">
        <x:v>Difficulty</x:v>
      </x:c>
      <x:c r="C435" s="224" t="str">
        <x:v>LC ID</x:v>
      </x:c>
      <x:c r="D435" s="224" t="str">
        <x:v>Problem Title</x:v>
      </x:c>
      <x:c r="E435" s="224" t="str">
        <x:v>Problem URL</x:v>
      </x:c>
      <x:c r="F435" s="224" t="str">
        <x:v>Status</x:v>
      </x:c>
      <x:c r="G435" s="224" t="str">
        <x:v>Planned Date</x:v>
      </x:c>
      <x:c r="H435" s="224" t="str">
        <x:v>Notes</x:v>
      </x:c>
    </x:row>
    <x:row r="436">
      <x:c r="A436" t="n">
        <x:v>396</x:v>
      </x:c>
      <x:c r="B436" t="str">
        <x:v>Medium</x:v>
      </x:c>
      <x:c r="C436" t="n">
        <x:v>215</x:v>
      </x:c>
      <x:c r="D436" t="str">
        <x:v>Kth Largest Element in an Array</x:v>
      </x:c>
      <x:c r="E436" t="str">
        <x:v>https://leetcode.com/problems/kth-largest-element-in-an-array/</x:v>
      </x:c>
      <x:c r="F436" t="str">
        <x:v>Done</x:v>
      </x:c>
      <x:c r="G436" s="36"/>
      <x:c r="H436"/>
    </x:row>
    <x:row r="437">
      <x:c r="A437" t="n">
        <x:v>397</x:v>
      </x:c>
      <x:c r="B437" t="str">
        <x:v>Easy</x:v>
      </x:c>
      <x:c r="C437" t="n">
        <x:v>703</x:v>
      </x:c>
      <x:c r="D437" t="str">
        <x:v>Kth Largest Element in a Stream</x:v>
      </x:c>
      <x:c r="E437" t="str">
        <x:v>https://leetcode.com/problems/kth-largest-element-in-a-stream/</x:v>
      </x:c>
      <x:c r="F437" t="str">
        <x:v>Not Started</x:v>
      </x:c>
      <x:c r="G437" s="36" t="n">
        <x:v>46419</x:v>
      </x:c>
      <x:c r="H437"/>
    </x:row>
    <x:row r="438">
      <x:c r="A438" t="n">
        <x:v>398</x:v>
      </x:c>
      <x:c r="B438" t="str">
        <x:v>Easy</x:v>
      </x:c>
      <x:c r="C438" t="n">
        <x:v>1046</x:v>
      </x:c>
      <x:c r="D438" t="str">
        <x:v>Last Stone Weight</x:v>
      </x:c>
      <x:c r="E438" t="str">
        <x:v>https://leetcode.com/problems/last-stone-weight/</x:v>
      </x:c>
      <x:c r="F438" t="str">
        <x:v>Not Started</x:v>
      </x:c>
      <x:c r="G438" s="36" t="n">
        <x:v>46419</x:v>
      </x:c>
      <x:c r="H438"/>
    </x:row>
    <x:row r="439">
      <x:c r="A439" t="n">
        <x:v>399</x:v>
      </x:c>
      <x:c r="B439" t="str">
        <x:v>Medium</x:v>
      </x:c>
      <x:c r="C439" t="n">
        <x:v>973</x:v>
      </x:c>
      <x:c r="D439" t="str">
        <x:v>K Closest Points to Origin</x:v>
      </x:c>
      <x:c r="E439" t="str">
        <x:v>https://leetcode.com/problems/k-closest-points-to-origin/</x:v>
      </x:c>
      <x:c r="F439" t="str">
        <x:v>Not Started</x:v>
      </x:c>
      <x:c r="G439" s="36" t="n">
        <x:v>46419</x:v>
      </x:c>
      <x:c r="H439"/>
    </x:row>
    <x:row r="440">
      <x:c r="A440" t="n">
        <x:v>400</x:v>
      </x:c>
      <x:c r="B440" t="str">
        <x:v>Hard</x:v>
      </x:c>
      <x:c r="C440" t="n">
        <x:v>295</x:v>
      </x:c>
      <x:c r="D440" t="str">
        <x:v>Find Median from Data Stream</x:v>
      </x:c>
      <x:c r="E440" t="str">
        <x:v>https://leetcode.com/problems/find-median-from-data-stream/</x:v>
      </x:c>
      <x:c r="F440" t="str">
        <x:v>Not Started</x:v>
      </x:c>
      <x:c r="G440" s="36" t="n">
        <x:v>46420</x:v>
      </x:c>
      <x:c r="H440"/>
    </x:row>
    <x:row r="441">
      <x:c r="A441" t="n">
        <x:v>401</x:v>
      </x:c>
      <x:c r="B441" t="str">
        <x:v>Medium</x:v>
      </x:c>
      <x:c r="C441" t="n">
        <x:v>692</x:v>
      </x:c>
      <x:c r="D441" t="str">
        <x:v>Top K Frequent Words</x:v>
      </x:c>
      <x:c r="E441" t="str">
        <x:v>https://leetcode.com/problems/top-k-frequent-words/</x:v>
      </x:c>
      <x:c r="F441" t="str">
        <x:v>Not Started</x:v>
      </x:c>
      <x:c r="G441" s="36" t="n">
        <x:v>46420</x:v>
      </x:c>
      <x:c r="H441"/>
    </x:row>
    <x:row r="442">
      <x:c r="A442" t="n">
        <x:v>402</x:v>
      </x:c>
      <x:c r="B442" t="str">
        <x:v>Medium</x:v>
      </x:c>
      <x:c r="C442" t="n">
        <x:v>1834</x:v>
      </x:c>
      <x:c r="D442" t="str">
        <x:v>Single-Threaded CPU</x:v>
      </x:c>
      <x:c r="E442" t="str">
        <x:v>https://leetcode.com/problems/single-threaded-cpu/</x:v>
      </x:c>
      <x:c r="F442" t="str">
        <x:v>Not Started</x:v>
      </x:c>
      <x:c r="G442" s="36" t="n">
        <x:v>46420</x:v>
      </x:c>
      <x:c r="H442"/>
    </x:row>
    <x:row r="443">
      <x:c r="A443" t="n">
        <x:v>403</x:v>
      </x:c>
      <x:c r="B443" t="str">
        <x:v>Medium</x:v>
      </x:c>
      <x:c r="C443" t="n">
        <x:v>1882</x:v>
      </x:c>
      <x:c r="D443" t="str">
        <x:v>Process Tasks Using Servers</x:v>
      </x:c>
      <x:c r="E443" t="str">
        <x:v>https://leetcode.com/problems/process-tasks-using-servers/</x:v>
      </x:c>
      <x:c r="F443" t="str">
        <x:v>Not Started</x:v>
      </x:c>
      <x:c r="G443" s="36" t="n">
        <x:v>46421</x:v>
      </x:c>
      <x:c r="H443"/>
    </x:row>
    <x:row r="444">
      <x:c r="A444" t="n">
        <x:v>404</x:v>
      </x:c>
      <x:c r="B444" t="str">
        <x:v>Medium</x:v>
      </x:c>
      <x:c r="C444" t="n">
        <x:v>1962</x:v>
      </x:c>
      <x:c r="D444" t="str">
        <x:v>Remove Stones to Minimize the Total</x:v>
      </x:c>
      <x:c r="E444" t="str">
        <x:v>https://leetcode.com/problems/remove-stones-to-minimize-the-total/</x:v>
      </x:c>
      <x:c r="F444" t="str">
        <x:v>Not Started</x:v>
      </x:c>
      <x:c r="G444" s="36" t="n">
        <x:v>46421</x:v>
      </x:c>
      <x:c r="H444"/>
    </x:row>
    <x:row r="445">
      <x:c r="A445" t="n">
        <x:v>405</x:v>
      </x:c>
      <x:c r="B445" t="str">
        <x:v>Hard</x:v>
      </x:c>
      <x:c r="C445" t="n">
        <x:v>218</x:v>
      </x:c>
      <x:c r="D445" t="str">
        <x:v>The Skyline Problem</x:v>
      </x:c>
      <x:c r="E445" t="str">
        <x:v>https://leetcode.com/problems/the-skyline-problem/</x:v>
      </x:c>
      <x:c r="F445" t="str">
        <x:v>Not Started</x:v>
      </x:c>
      <x:c r="G445" s="36" t="n">
        <x:v>46421</x:v>
      </x:c>
      <x:c r="H445"/>
    </x:row>
    <x:row r="446">
      <x:c r="A446" t="n">
        <x:v>406</x:v>
      </x:c>
      <x:c r="B446" t="str">
        <x:v>Hard</x:v>
      </x:c>
      <x:c r="C446" t="n">
        <x:v>407</x:v>
      </x:c>
      <x:c r="D446" t="str">
        <x:v>Trapping Rain Water II</x:v>
      </x:c>
      <x:c r="E446" t="str">
        <x:v>https://leetcode.com/problems/trapping-rain-water-ii/</x:v>
      </x:c>
      <x:c r="F446" t="str">
        <x:v>Not Started</x:v>
      </x:c>
      <x:c r="G446" s="36" t="n">
        <x:v>46422</x:v>
      </x:c>
      <x:c r="H446"/>
    </x:row>
    <x:row r="447">
      <x:c r="A447" t="n">
        <x:v>407</x:v>
      </x:c>
      <x:c r="B447" t="str">
        <x:v>Medium</x:v>
      </x:c>
      <x:c r="C447" t="n">
        <x:v>373</x:v>
      </x:c>
      <x:c r="D447" t="str">
        <x:v>Find K Pairs with Smallest Sums</x:v>
      </x:c>
      <x:c r="E447" t="str">
        <x:v>https://leetcode.com/problems/find-k-pairs-with-smallest-sums/</x:v>
      </x:c>
      <x:c r="F447" t="str">
        <x:v>Not Started</x:v>
      </x:c>
      <x:c r="G447" s="36" t="n">
        <x:v>46422</x:v>
      </x:c>
      <x:c r="H447"/>
    </x:row>
    <x:row r="448">
      <x:c r="A448" t="n">
        <x:v>408</x:v>
      </x:c>
      <x:c r="B448" t="str">
        <x:v>Hard</x:v>
      </x:c>
      <x:c r="C448" t="n">
        <x:v>480</x:v>
      </x:c>
      <x:c r="D448" t="str">
        <x:v>Sliding Window Median</x:v>
      </x:c>
      <x:c r="E448" t="str">
        <x:v>https://leetcode.com/problems/sliding-window-median/</x:v>
      </x:c>
      <x:c r="F448" t="str">
        <x:v>Not Started</x:v>
      </x:c>
      <x:c r="G448" s="36" t="n">
        <x:v>46422</x:v>
      </x:c>
      <x:c r="H448"/>
    </x:row>
    <x:row r="449">
      <x:c r="A449" t="n">
        <x:v>409</x:v>
      </x:c>
      <x:c r="B449" t="str">
        <x:v>Hard</x:v>
      </x:c>
      <x:c r="C449" t="n">
        <x:v>502</x:v>
      </x:c>
      <x:c r="D449" t="str">
        <x:v>IPO</x:v>
      </x:c>
      <x:c r="E449" t="str">
        <x:v>https://leetcode.com/problems/ipo/</x:v>
      </x:c>
      <x:c r="F449" t="str">
        <x:v>Not Started</x:v>
      </x:c>
      <x:c r="G449" s="36" t="n">
        <x:v>46423</x:v>
      </x:c>
      <x:c r="H449"/>
    </x:row>
    <x:row r="450">
      <x:c r="A450" t="n">
        <x:v>410</x:v>
      </x:c>
      <x:c r="B450" t="str">
        <x:v>Hard</x:v>
      </x:c>
      <x:c r="C450" t="n">
        <x:v>632</x:v>
      </x:c>
      <x:c r="D450" t="str">
        <x:v>Smallest Range Covering Elements from K Lists</x:v>
      </x:c>
      <x:c r="E450" t="str">
        <x:v>https://leetcode.com/problems/smallest-range-covering-elements-from-k-lists/</x:v>
      </x:c>
      <x:c r="F450" t="str">
        <x:v>Not Started</x:v>
      </x:c>
      <x:c r="G450" s="36" t="n">
        <x:v>46423</x:v>
      </x:c>
      <x:c r="H450"/>
    </x:row>
    <x:row r="451">
      <x:c r="A451" t="n">
        <x:v>411</x:v>
      </x:c>
      <x:c r="B451" t="str">
        <x:v>Hard</x:v>
      </x:c>
      <x:c r="C451" t="n">
        <x:v>857</x:v>
      </x:c>
      <x:c r="D451" t="str">
        <x:v>Minimum Cost to Hire K Workers</x:v>
      </x:c>
      <x:c r="E451" t="str">
        <x:v>https://leetcode.com/problems/minimum-cost-to-hire-k-workers/</x:v>
      </x:c>
      <x:c r="F451" t="str">
        <x:v>Not Started</x:v>
      </x:c>
      <x:c r="G451" s="36" t="n">
        <x:v>46423</x:v>
      </x:c>
      <x:c r="H451"/>
    </x:row>
    <x:row r="452">
      <x:c r="A452" t="n">
        <x:v>412</x:v>
      </x:c>
      <x:c r="B452" t="str">
        <x:v>Hard</x:v>
      </x:c>
      <x:c r="C452" t="n">
        <x:v>871</x:v>
      </x:c>
      <x:c r="D452" t="str">
        <x:v>Minimum Number of Refueling Stops</x:v>
      </x:c>
      <x:c r="E452" t="str">
        <x:v>https://leetcode.com/problems/minimum-number-of-refueling-stops/</x:v>
      </x:c>
      <x:c r="F452" t="str">
        <x:v>Not Started</x:v>
      </x:c>
      <x:c r="G452" s="36" t="n">
        <x:v>46424</x:v>
      </x:c>
      <x:c r="H452"/>
    </x:row>
    <x:row r="453">
      <x:c r="A453" t="n">
        <x:v>413</x:v>
      </x:c>
      <x:c r="B453" t="str">
        <x:v>Hard</x:v>
      </x:c>
      <x:c r="C453" t="n">
        <x:v>895</x:v>
      </x:c>
      <x:c r="D453" t="str">
        <x:v>Maximum Frequency Stack</x:v>
      </x:c>
      <x:c r="E453" t="str">
        <x:v>https://leetcode.com/problems/maximum-frequency-stack/</x:v>
      </x:c>
      <x:c r="F453" t="str">
        <x:v>Not Started</x:v>
      </x:c>
      <x:c r="G453" s="36" t="n">
        <x:v>46424</x:v>
      </x:c>
      <x:c r="H453"/>
    </x:row>
    <x:row r="454">
      <x:c r="A454" t="n">
        <x:v>414</x:v>
      </x:c>
      <x:c r="B454" t="str">
        <x:v>Medium</x:v>
      </x:c>
      <x:c r="C454" t="n">
        <x:v>1353</x:v>
      </x:c>
      <x:c r="D454" t="str">
        <x:v>Maximum Number of Events That Can Be Attended</x:v>
      </x:c>
      <x:c r="E454" t="str">
        <x:v>https://leetcode.com/problems/maximum-number-of-events-that-can-be-attended/</x:v>
      </x:c>
      <x:c r="F454" t="str">
        <x:v>Not Started</x:v>
      </x:c>
      <x:c r="G454" s="36" t="n">
        <x:v>46424</x:v>
      </x:c>
      <x:c r="H454"/>
    </x:row>
    <x:row r="455">
      <x:c r="A455" t="n">
        <x:v>415</x:v>
      </x:c>
      <x:c r="B455" t="str">
        <x:v>Hard</x:v>
      </x:c>
      <x:c r="C455" t="n">
        <x:v>1383</x:v>
      </x:c>
      <x:c r="D455" t="str">
        <x:v>Maximum Performance of a Team</x:v>
      </x:c>
      <x:c r="E455" t="str">
        <x:v>https://leetcode.com/problems/maximum-performance-of-a-team/</x:v>
      </x:c>
      <x:c r="F455" t="str">
        <x:v>Not Started</x:v>
      </x:c>
      <x:c r="G455" s="36" t="n">
        <x:v>46425</x:v>
      </x:c>
      <x:c r="H455"/>
    </x:row>
    <x:row r="456">
      <x:c r="A456" t="n">
        <x:v>416</x:v>
      </x:c>
      <x:c r="B456" t="str">
        <x:v>Medium</x:v>
      </x:c>
      <x:c r="C456" t="n">
        <x:v>1642</x:v>
      </x:c>
      <x:c r="D456" t="str">
        <x:v>Furthest Building You Can Reach</x:v>
      </x:c>
      <x:c r="E456" t="str">
        <x:v>https://leetcode.com/problems/furthest-building-you-can-reach/</x:v>
      </x:c>
      <x:c r="F456" t="str">
        <x:v>Not Started</x:v>
      </x:c>
      <x:c r="G456" s="36" t="n">
        <x:v>46425</x:v>
      </x:c>
      <x:c r="H456"/>
    </x:row>
    <x:row r="457">
      <x:c r="A457" t="n">
        <x:v>417</x:v>
      </x:c>
      <x:c r="B457" t="str">
        <x:v>Hard</x:v>
      </x:c>
      <x:c r="C457" t="n">
        <x:v>1675</x:v>
      </x:c>
      <x:c r="D457" t="str">
        <x:v>Minimize Deviation in Array</x:v>
      </x:c>
      <x:c r="E457" t="str">
        <x:v>https://leetcode.com/problems/minimize-deviation-in-array/</x:v>
      </x:c>
      <x:c r="F457" t="str">
        <x:v>Not Started</x:v>
      </x:c>
      <x:c r="G457" s="36" t="n">
        <x:v>46425</x:v>
      </x:c>
      <x:c r="H457"/>
    </x:row>
    <x:row r="458">
      <x:c r="A458" t="n">
        <x:v>418</x:v>
      </x:c>
      <x:c r="B458" t="str">
        <x:v>Hard</x:v>
      </x:c>
      <x:c r="C458" t="n">
        <x:v>2402</x:v>
      </x:c>
      <x:c r="D458" t="str">
        <x:v>Meeting Rooms III</x:v>
      </x:c>
      <x:c r="E458" t="str">
        <x:v>https://leetcode.com/problems/meeting-rooms-iii/</x:v>
      </x:c>
      <x:c r="F458" t="str">
        <x:v>Not Started</x:v>
      </x:c>
      <x:c r="G458" s="36" t="n">
        <x:v>46426</x:v>
      </x:c>
      <x:c r="H458"/>
    </x:row>
    <x:row r="459">
      <x:c r="A459" t="n">
        <x:v>419</x:v>
      </x:c>
      <x:c r="B459" t="str">
        <x:v>Medium</x:v>
      </x:c>
      <x:c r="C459" t="n">
        <x:v>2462</x:v>
      </x:c>
      <x:c r="D459" t="str">
        <x:v>Total Cost to Hire K Workers</x:v>
      </x:c>
      <x:c r="E459" t="str">
        <x:v>https://leetcode.com/problems/total-cost-to-hire-k-workers/</x:v>
      </x:c>
      <x:c r="F459" t="str">
        <x:v>Not Started</x:v>
      </x:c>
      <x:c r="G459" s="36" t="n">
        <x:v>46426</x:v>
      </x:c>
      <x:c r="H459"/>
    </x:row>
    <x:row r="460">
      <x:c r="A460" t="n">
        <x:v>420</x:v>
      </x:c>
      <x:c r="B460" t="str">
        <x:v>Medium</x:v>
      </x:c>
      <x:c r="C460" t="n">
        <x:v>2530</x:v>
      </x:c>
      <x:c r="D460" t="str">
        <x:v>Maximal Score After Applying K Operations</x:v>
      </x:c>
      <x:c r="E460" t="str">
        <x:v>https://leetcode.com/problems/maximal-score-after-applying-k-operations/</x:v>
      </x:c>
      <x:c r="F460" t="str">
        <x:v>Not Started</x:v>
      </x:c>
      <x:c r="G460" s="36" t="n">
        <x:v>46426</x:v>
      </x:c>
      <x:c r="H460"/>
    </x:row>
    <x:row r="461">
      <x:c r="A461"/>
      <x:c r="B461"/>
      <x:c r="C461"/>
      <x:c r="D461"/>
      <x:c r="E461"/>
      <x:c r="F461"/>
      <x:c r="G461"/>
      <x:c r="H461"/>
    </x:row>
    <x:row r="462">
      <x:c r="A462"/>
      <x:c r="B462"/>
      <x:c r="C462"/>
      <x:c r="D462"/>
      <x:c r="E462"/>
      <x:c r="F462"/>
      <x:c r="G462"/>
      <x:c r="H462"/>
    </x:row>
    <x:row r="463">
      <x:c r="A463" s="220" t="str">
        <x:v>Recursion Basics  —  10 problems</x:v>
      </x:c>
      <x:c r="B463" s="220"/>
      <x:c r="C463" s="220"/>
      <x:c r="D463" s="220"/>
      <x:c r="E463" s="220"/>
      <x:c r="F463" s="220"/>
      <x:c r="G463" s="220"/>
      <x:c r="H463" s="220"/>
    </x:row>
    <x:row r="464">
      <x:c r="A464" s="224" t="str">
        <x:v>Seq</x:v>
      </x:c>
      <x:c r="B464" s="224" t="str">
        <x:v>Difficulty</x:v>
      </x:c>
      <x:c r="C464" s="224" t="str">
        <x:v>LC ID</x:v>
      </x:c>
      <x:c r="D464" s="224" t="str">
        <x:v>Problem Title</x:v>
      </x:c>
      <x:c r="E464" s="224" t="str">
        <x:v>Problem URL</x:v>
      </x:c>
      <x:c r="F464" s="224" t="str">
        <x:v>Status</x:v>
      </x:c>
      <x:c r="G464" s="224" t="str">
        <x:v>Planned Date</x:v>
      </x:c>
      <x:c r="H464" s="224" t="str">
        <x:v>Notes</x:v>
      </x:c>
    </x:row>
    <x:row r="465">
      <x:c r="A465" t="n">
        <x:v>421</x:v>
      </x:c>
      <x:c r="B465" t="str">
        <x:v>Easy</x:v>
      </x:c>
      <x:c r="C465" t="n">
        <x:v>509</x:v>
      </x:c>
      <x:c r="D465" t="str">
        <x:v>Fibonacci Number</x:v>
      </x:c>
      <x:c r="E465" t="str">
        <x:v>https://leetcode.com/problems/fibonacci-number/</x:v>
      </x:c>
      <x:c r="F465" t="str">
        <x:v>Not Started</x:v>
      </x:c>
      <x:c r="G465" s="36" t="n">
        <x:v>46427</x:v>
      </x:c>
      <x:c r="H465"/>
    </x:row>
    <x:row r="466">
      <x:c r="A466" t="n">
        <x:v>422</x:v>
      </x:c>
      <x:c r="B466" t="str">
        <x:v>Medium</x:v>
      </x:c>
      <x:c r="C466" t="n">
        <x:v>779</x:v>
      </x:c>
      <x:c r="D466" t="str">
        <x:v>K-th Symbol in Grammar</x:v>
      </x:c>
      <x:c r="E466" t="str">
        <x:v>https://leetcode.com/problems/k-th-symbol-in-grammar/</x:v>
      </x:c>
      <x:c r="F466" t="str">
        <x:v>Not Started</x:v>
      </x:c>
      <x:c r="G466" s="36" t="n">
        <x:v>46427</x:v>
      </x:c>
      <x:c r="H466"/>
    </x:row>
    <x:row r="467">
      <x:c r="A467" t="n">
        <x:v>423</x:v>
      </x:c>
      <x:c r="B467" t="str">
        <x:v>Medium</x:v>
      </x:c>
      <x:c r="C467" t="n">
        <x:v>241</x:v>
      </x:c>
      <x:c r="D467" t="str">
        <x:v>Different Ways to Add Parentheses</x:v>
      </x:c>
      <x:c r="E467" t="str">
        <x:v>https://leetcode.com/problems/different-ways-to-add-parentheses/</x:v>
      </x:c>
      <x:c r="F467" t="str">
        <x:v>Not Started</x:v>
      </x:c>
      <x:c r="G467" s="36" t="n">
        <x:v>46427</x:v>
      </x:c>
      <x:c r="H467"/>
    </x:row>
    <x:row r="468">
      <x:c r="A468" t="n">
        <x:v>424</x:v>
      </x:c>
      <x:c r="B468" t="str">
        <x:v>Medium</x:v>
      </x:c>
      <x:c r="C468" t="n">
        <x:v>95</x:v>
      </x:c>
      <x:c r="D468" t="str">
        <x:v>Unique Binary Search Trees II</x:v>
      </x:c>
      <x:c r="E468" t="str">
        <x:v>https://leetcode.com/problems/unique-binary-search-trees-ii/</x:v>
      </x:c>
      <x:c r="F468" t="str">
        <x:v>Not Started</x:v>
      </x:c>
      <x:c r="G468" s="36" t="n">
        <x:v>46428</x:v>
      </x:c>
      <x:c r="H468"/>
    </x:row>
    <x:row r="469">
      <x:c r="A469" t="n">
        <x:v>425</x:v>
      </x:c>
      <x:c r="B469" t="str">
        <x:v>Medium</x:v>
      </x:c>
      <x:c r="C469" t="n">
        <x:v>894</x:v>
      </x:c>
      <x:c r="D469" t="str">
        <x:v>All Possible Full Binary Trees</x:v>
      </x:c>
      <x:c r="E469" t="str">
        <x:v>https://leetcode.com/problems/all-possible-full-binary-trees/</x:v>
      </x:c>
      <x:c r="F469" t="str">
        <x:v>Not Started</x:v>
      </x:c>
      <x:c r="G469" s="36" t="n">
        <x:v>46428</x:v>
      </x:c>
      <x:c r="H469"/>
    </x:row>
    <x:row r="470">
      <x:c r="A470" t="n">
        <x:v>426</x:v>
      </x:c>
      <x:c r="B470" t="str">
        <x:v>Medium</x:v>
      </x:c>
      <x:c r="C470" t="n">
        <x:v>386</x:v>
      </x:c>
      <x:c r="D470" t="str">
        <x:v>Lexicographical Numbers</x:v>
      </x:c>
      <x:c r="E470" t="str">
        <x:v>https://leetcode.com/problems/lexicographical-numbers/</x:v>
      </x:c>
      <x:c r="F470" t="str">
        <x:v>Not Started</x:v>
      </x:c>
      <x:c r="G470" s="36" t="n">
        <x:v>46428</x:v>
      </x:c>
      <x:c r="H470"/>
    </x:row>
    <x:row r="471">
      <x:c r="A471" t="n">
        <x:v>427</x:v>
      </x:c>
      <x:c r="B471" t="str">
        <x:v>Medium</x:v>
      </x:c>
      <x:c r="C471" t="n">
        <x:v>1823</x:v>
      </x:c>
      <x:c r="D471" t="str">
        <x:v>Find the Winner of the Circular Game</x:v>
      </x:c>
      <x:c r="E471" t="str">
        <x:v>https://leetcode.com/problems/find-the-winner-of-the-circular-game/</x:v>
      </x:c>
      <x:c r="F471" t="str">
        <x:v>Not Started</x:v>
      </x:c>
      <x:c r="G471" s="36" t="n">
        <x:v>46429</x:v>
      </x:c>
      <x:c r="H471"/>
    </x:row>
    <x:row r="472">
      <x:c r="A472" t="n">
        <x:v>428</x:v>
      </x:c>
      <x:c r="B472" t="str">
        <x:v>Hard</x:v>
      </x:c>
      <x:c r="C472" t="n">
        <x:v>60</x:v>
      </x:c>
      <x:c r="D472" t="str">
        <x:v>Permutation Sequence</x:v>
      </x:c>
      <x:c r="E472" t="str">
        <x:v>https://leetcode.com/problems/permutation-sequence/</x:v>
      </x:c>
      <x:c r="F472" t="str">
        <x:v>Not Started</x:v>
      </x:c>
      <x:c r="G472" s="36" t="n">
        <x:v>46429</x:v>
      </x:c>
      <x:c r="H472"/>
    </x:row>
    <x:row r="473">
      <x:c r="A473" t="n">
        <x:v>429</x:v>
      </x:c>
      <x:c r="B473" t="str">
        <x:v>Medium</x:v>
      </x:c>
      <x:c r="C473" t="n">
        <x:v>390</x:v>
      </x:c>
      <x:c r="D473" t="str">
        <x:v>Elimination Game</x:v>
      </x:c>
      <x:c r="E473" t="str">
        <x:v>https://leetcode.com/problems/elimination-game/</x:v>
      </x:c>
      <x:c r="F473" t="str">
        <x:v>Not Started</x:v>
      </x:c>
      <x:c r="G473" s="36" t="n">
        <x:v>46429</x:v>
      </x:c>
      <x:c r="H473"/>
    </x:row>
    <x:row r="474">
      <x:c r="A474" t="n">
        <x:v>430</x:v>
      </x:c>
      <x:c r="B474" t="str">
        <x:v>Medium</x:v>
      </x:c>
      <x:c r="C474" t="n">
        <x:v>1922</x:v>
      </x:c>
      <x:c r="D474" t="str">
        <x:v>Count Good Numbers</x:v>
      </x:c>
      <x:c r="E474" t="str">
        <x:v>https://leetcode.com/problems/count-good-numbers/</x:v>
      </x:c>
      <x:c r="F474" t="str">
        <x:v>Not Started</x:v>
      </x:c>
      <x:c r="G474" s="36" t="n">
        <x:v>46430</x:v>
      </x:c>
      <x:c r="H474"/>
    </x:row>
    <x:row r="475">
      <x:c r="A475"/>
      <x:c r="B475"/>
      <x:c r="C475"/>
      <x:c r="D475"/>
      <x:c r="E475"/>
      <x:c r="F475"/>
      <x:c r="G475" s="36"/>
      <x:c r="H475"/>
    </x:row>
    <x:row r="476">
      <x:c r="A476"/>
      <x:c r="B476"/>
      <x:c r="C476"/>
      <x:c r="D476"/>
      <x:c r="E476"/>
      <x:c r="F476"/>
      <x:c r="G476" s="36"/>
      <x:c r="H476"/>
    </x:row>
    <x:row r="477">
      <x:c r="A477" s="220" t="str">
        <x:v>Backtracking  —  25 problems</x:v>
      </x:c>
      <x:c r="B477" s="220"/>
      <x:c r="C477" s="220"/>
      <x:c r="D477" s="220"/>
      <x:c r="E477" s="220"/>
      <x:c r="F477" s="220"/>
      <x:c r="G477" s="227"/>
      <x:c r="H477" s="220"/>
    </x:row>
    <x:row r="478">
      <x:c r="A478" s="224" t="str">
        <x:v>Seq</x:v>
      </x:c>
      <x:c r="B478" s="224" t="str">
        <x:v>Difficulty</x:v>
      </x:c>
      <x:c r="C478" s="224" t="str">
        <x:v>LC ID</x:v>
      </x:c>
      <x:c r="D478" s="224" t="str">
        <x:v>Problem Title</x:v>
      </x:c>
      <x:c r="E478" s="224" t="str">
        <x:v>Problem URL</x:v>
      </x:c>
      <x:c r="F478" s="224" t="str">
        <x:v>Status</x:v>
      </x:c>
      <x:c r="G478" s="231" t="str">
        <x:v>Planned Date</x:v>
      </x:c>
      <x:c r="H478" s="224" t="str">
        <x:v>Notes</x:v>
      </x:c>
    </x:row>
    <x:row r="479">
      <x:c r="A479" t="n">
        <x:v>431</x:v>
      </x:c>
      <x:c r="B479" t="str">
        <x:v>Medium</x:v>
      </x:c>
      <x:c r="C479" t="n">
        <x:v>22</x:v>
      </x:c>
      <x:c r="D479" t="str">
        <x:v>Generate Parentheses</x:v>
      </x:c>
      <x:c r="E479" t="str">
        <x:v>https://leetcode.com/problems/generate-parentheses/</x:v>
      </x:c>
      <x:c r="F479" t="str">
        <x:v>Not Started</x:v>
      </x:c>
      <x:c r="G479" s="36" t="n">
        <x:v>46430</x:v>
      </x:c>
      <x:c r="H479"/>
    </x:row>
    <x:row r="480">
      <x:c r="A480" t="n">
        <x:v>432</x:v>
      </x:c>
      <x:c r="B480" t="str">
        <x:v>Medium</x:v>
      </x:c>
      <x:c r="C480" t="n">
        <x:v>39</x:v>
      </x:c>
      <x:c r="D480" t="str">
        <x:v>Combination Sum</x:v>
      </x:c>
      <x:c r="E480" t="str">
        <x:v>https://leetcode.com/problems/combination-sum/</x:v>
      </x:c>
      <x:c r="F480" t="str">
        <x:v>Not Started</x:v>
      </x:c>
      <x:c r="G480" s="36" t="n">
        <x:v>46430</x:v>
      </x:c>
      <x:c r="H480"/>
    </x:row>
    <x:row r="481">
      <x:c r="A481" t="n">
        <x:v>433</x:v>
      </x:c>
      <x:c r="B481" t="str">
        <x:v>Medium</x:v>
      </x:c>
      <x:c r="C481" t="n">
        <x:v>40</x:v>
      </x:c>
      <x:c r="D481" t="str">
        <x:v>Combination Sum II</x:v>
      </x:c>
      <x:c r="E481" t="str">
        <x:v>https://leetcode.com/problems/combination-sum-ii/</x:v>
      </x:c>
      <x:c r="F481" t="str">
        <x:v>Not Started</x:v>
      </x:c>
      <x:c r="G481" s="36" t="n">
        <x:v>46431</x:v>
      </x:c>
      <x:c r="H481"/>
    </x:row>
    <x:row r="482">
      <x:c r="A482" t="n">
        <x:v>434</x:v>
      </x:c>
      <x:c r="B482" t="str">
        <x:v>Medium</x:v>
      </x:c>
      <x:c r="C482" t="n">
        <x:v>46</x:v>
      </x:c>
      <x:c r="D482" t="str">
        <x:v>Permutations</x:v>
      </x:c>
      <x:c r="E482" t="str">
        <x:v>https://leetcode.com/problems/permutations/</x:v>
      </x:c>
      <x:c r="F482" t="str">
        <x:v>Not Started</x:v>
      </x:c>
      <x:c r="G482" s="36" t="n">
        <x:v>46431</x:v>
      </x:c>
      <x:c r="H482"/>
    </x:row>
    <x:row r="483">
      <x:c r="A483" t="n">
        <x:v>435</x:v>
      </x:c>
      <x:c r="B483" t="str">
        <x:v>Medium</x:v>
      </x:c>
      <x:c r="C483" t="n">
        <x:v>47</x:v>
      </x:c>
      <x:c r="D483" t="str">
        <x:v>Permutations II</x:v>
      </x:c>
      <x:c r="E483" t="str">
        <x:v>https://leetcode.com/problems/permutations-ii/</x:v>
      </x:c>
      <x:c r="F483" t="str">
        <x:v>Not Started</x:v>
      </x:c>
      <x:c r="G483" s="36" t="n">
        <x:v>46431</x:v>
      </x:c>
      <x:c r="H483"/>
    </x:row>
    <x:row r="484">
      <x:c r="A484" t="n">
        <x:v>436</x:v>
      </x:c>
      <x:c r="B484" t="str">
        <x:v>Medium</x:v>
      </x:c>
      <x:c r="C484" t="n">
        <x:v>77</x:v>
      </x:c>
      <x:c r="D484" t="str">
        <x:v>Combinations</x:v>
      </x:c>
      <x:c r="E484" t="str">
        <x:v>https://leetcode.com/problems/combinations/</x:v>
      </x:c>
      <x:c r="F484" t="str">
        <x:v>Not Started</x:v>
      </x:c>
      <x:c r="G484" s="36" t="n">
        <x:v>46432</x:v>
      </x:c>
      <x:c r="H484"/>
    </x:row>
    <x:row r="485">
      <x:c r="A485" t="n">
        <x:v>437</x:v>
      </x:c>
      <x:c r="B485" t="str">
        <x:v>Medium</x:v>
      </x:c>
      <x:c r="C485" t="n">
        <x:v>78</x:v>
      </x:c>
      <x:c r="D485" t="str">
        <x:v>Subsets</x:v>
      </x:c>
      <x:c r="E485" t="str">
        <x:v>https://leetcode.com/problems/subsets/</x:v>
      </x:c>
      <x:c r="F485" t="str">
        <x:v>Not Started</x:v>
      </x:c>
      <x:c r="G485" s="36" t="n">
        <x:v>46432</x:v>
      </x:c>
      <x:c r="H485"/>
    </x:row>
    <x:row r="486">
      <x:c r="A486" t="n">
        <x:v>438</x:v>
      </x:c>
      <x:c r="B486" t="str">
        <x:v>Medium</x:v>
      </x:c>
      <x:c r="C486" t="n">
        <x:v>90</x:v>
      </x:c>
      <x:c r="D486" t="str">
        <x:v>Subsets II</x:v>
      </x:c>
      <x:c r="E486" t="str">
        <x:v>https://leetcode.com/problems/subsets-ii/</x:v>
      </x:c>
      <x:c r="F486" t="str">
        <x:v>Not Started</x:v>
      </x:c>
      <x:c r="G486" s="36" t="n">
        <x:v>46432</x:v>
      </x:c>
      <x:c r="H486"/>
    </x:row>
    <x:row r="487">
      <x:c r="A487" t="n">
        <x:v>439</x:v>
      </x:c>
      <x:c r="B487" t="str">
        <x:v>Medium</x:v>
      </x:c>
      <x:c r="C487" t="n">
        <x:v>93</x:v>
      </x:c>
      <x:c r="D487" t="str">
        <x:v>Restore IP Addresses</x:v>
      </x:c>
      <x:c r="E487" t="str">
        <x:v>https://leetcode.com/problems/restore-ip-addresses/</x:v>
      </x:c>
      <x:c r="F487" t="str">
        <x:v>Not Started</x:v>
      </x:c>
      <x:c r="G487" s="36" t="n">
        <x:v>46433</x:v>
      </x:c>
      <x:c r="H487"/>
    </x:row>
    <x:row r="488">
      <x:c r="A488" t="n">
        <x:v>440</x:v>
      </x:c>
      <x:c r="B488" t="str">
        <x:v>Medium</x:v>
      </x:c>
      <x:c r="C488" t="n">
        <x:v>131</x:v>
      </x:c>
      <x:c r="D488" t="str">
        <x:v>Palindrome Partitioning</x:v>
      </x:c>
      <x:c r="E488" t="str">
        <x:v>https://leetcode.com/problems/palindrome-partitioning/</x:v>
      </x:c>
      <x:c r="F488" t="str">
        <x:v>Not Started</x:v>
      </x:c>
      <x:c r="G488" s="36" t="n">
        <x:v>46433</x:v>
      </x:c>
      <x:c r="H488"/>
    </x:row>
    <x:row r="489">
      <x:c r="A489" t="n">
        <x:v>441</x:v>
      </x:c>
      <x:c r="B489" t="str">
        <x:v>Medium</x:v>
      </x:c>
      <x:c r="C489" t="n">
        <x:v>216</x:v>
      </x:c>
      <x:c r="D489" t="str">
        <x:v>Combination Sum III</x:v>
      </x:c>
      <x:c r="E489" t="str">
        <x:v>https://leetcode.com/problems/combination-sum-iii/</x:v>
      </x:c>
      <x:c r="F489" t="str">
        <x:v>Not Started</x:v>
      </x:c>
      <x:c r="G489" s="36" t="n">
        <x:v>46433</x:v>
      </x:c>
      <x:c r="H489"/>
    </x:row>
    <x:row r="490">
      <x:c r="A490" t="n">
        <x:v>442</x:v>
      </x:c>
      <x:c r="B490" t="str">
        <x:v>Hard</x:v>
      </x:c>
      <x:c r="C490" t="n">
        <x:v>301</x:v>
      </x:c>
      <x:c r="D490" t="str">
        <x:v>Remove Invalid Parentheses</x:v>
      </x:c>
      <x:c r="E490" t="str">
        <x:v>https://leetcode.com/problems/remove-invalid-parentheses/</x:v>
      </x:c>
      <x:c r="F490" t="str">
        <x:v>Not Started</x:v>
      </x:c>
      <x:c r="G490" s="36" t="n">
        <x:v>46434</x:v>
      </x:c>
      <x:c r="H490"/>
    </x:row>
    <x:row r="491">
      <x:c r="A491" t="n">
        <x:v>443</x:v>
      </x:c>
      <x:c r="B491" t="str">
        <x:v>Medium</x:v>
      </x:c>
      <x:c r="C491" t="n">
        <x:v>306</x:v>
      </x:c>
      <x:c r="D491" t="str">
        <x:v>Additive Number</x:v>
      </x:c>
      <x:c r="E491" t="str">
        <x:v>https://leetcode.com/problems/additive-number/</x:v>
      </x:c>
      <x:c r="F491" t="str">
        <x:v>Not Started</x:v>
      </x:c>
      <x:c r="G491" s="36" t="n">
        <x:v>46434</x:v>
      </x:c>
      <x:c r="H491"/>
    </x:row>
    <x:row r="492">
      <x:c r="A492" t="n">
        <x:v>444</x:v>
      </x:c>
      <x:c r="B492" t="str">
        <x:v>Medium</x:v>
      </x:c>
      <x:c r="C492" t="n">
        <x:v>491</x:v>
      </x:c>
      <x:c r="D492" t="str">
        <x:v>Non-decreasing Subsequences</x:v>
      </x:c>
      <x:c r="E492" t="str">
        <x:v>https://leetcode.com/problems/non-decreasing-subsequences/</x:v>
      </x:c>
      <x:c r="F492" t="str">
        <x:v>Not Started</x:v>
      </x:c>
      <x:c r="G492" s="36" t="n">
        <x:v>46434</x:v>
      </x:c>
      <x:c r="H492"/>
    </x:row>
    <x:row r="493">
      <x:c r="A493" t="n">
        <x:v>445</x:v>
      </x:c>
      <x:c r="B493" t="str">
        <x:v>Medium</x:v>
      </x:c>
      <x:c r="C493" t="n">
        <x:v>526</x:v>
      </x:c>
      <x:c r="D493" t="str">
        <x:v>Beautiful Arrangement</x:v>
      </x:c>
      <x:c r="E493" t="str">
        <x:v>https://leetcode.com/problems/beautiful-arrangement/</x:v>
      </x:c>
      <x:c r="F493" t="str">
        <x:v>Not Started</x:v>
      </x:c>
      <x:c r="G493" s="36" t="n">
        <x:v>46435</x:v>
      </x:c>
      <x:c r="H493"/>
    </x:row>
    <x:row r="494">
      <x:c r="A494" t="n">
        <x:v>446</x:v>
      </x:c>
      <x:c r="B494" t="str">
        <x:v>Medium</x:v>
      </x:c>
      <x:c r="C494" t="n">
        <x:v>698</x:v>
      </x:c>
      <x:c r="D494" t="str">
        <x:v>Partition to K Equal Sum Subsets</x:v>
      </x:c>
      <x:c r="E494" t="str">
        <x:v>https://leetcode.com/problems/partition-to-k-equal-sum-subsets/</x:v>
      </x:c>
      <x:c r="F494" t="str">
        <x:v>Not Started</x:v>
      </x:c>
      <x:c r="G494" s="36" t="n">
        <x:v>46435</x:v>
      </x:c>
      <x:c r="H494"/>
    </x:row>
    <x:row r="495">
      <x:c r="A495" t="n">
        <x:v>447</x:v>
      </x:c>
      <x:c r="B495" t="str">
        <x:v>Medium</x:v>
      </x:c>
      <x:c r="C495" t="n">
        <x:v>784</x:v>
      </x:c>
      <x:c r="D495" t="str">
        <x:v>Letter Case Permutation</x:v>
      </x:c>
      <x:c r="E495" t="str">
        <x:v>https://leetcode.com/problems/letter-case-permutation/</x:v>
      </x:c>
      <x:c r="F495" t="str">
        <x:v>Not Started</x:v>
      </x:c>
      <x:c r="G495" s="36" t="n">
        <x:v>46435</x:v>
      </x:c>
      <x:c r="H495"/>
    </x:row>
    <x:row r="496">
      <x:c r="A496" t="n">
        <x:v>448</x:v>
      </x:c>
      <x:c r="B496" t="str">
        <x:v>Medium</x:v>
      </x:c>
      <x:c r="C496" t="n">
        <x:v>79</x:v>
      </x:c>
      <x:c r="D496" t="str">
        <x:v>Word Search</x:v>
      </x:c>
      <x:c r="E496" t="str">
        <x:v>https://leetcode.com/problems/word-search/</x:v>
      </x:c>
      <x:c r="F496" t="str">
        <x:v>Not Started</x:v>
      </x:c>
      <x:c r="G496" s="36" t="n">
        <x:v>46436</x:v>
      </x:c>
      <x:c r="H496"/>
    </x:row>
    <x:row r="497">
      <x:c r="A497" t="n">
        <x:v>449</x:v>
      </x:c>
      <x:c r="B497" t="str">
        <x:v>Hard</x:v>
      </x:c>
      <x:c r="C497" t="n">
        <x:v>212</x:v>
      </x:c>
      <x:c r="D497" t="str">
        <x:v>Word Search II</x:v>
      </x:c>
      <x:c r="E497" t="str">
        <x:v>https://leetcode.com/problems/word-search-ii/</x:v>
      </x:c>
      <x:c r="F497" t="str">
        <x:v>Not Started</x:v>
      </x:c>
      <x:c r="G497" s="36" t="n">
        <x:v>46436</x:v>
      </x:c>
      <x:c r="H497"/>
    </x:row>
    <x:row r="498">
      <x:c r="A498" t="n">
        <x:v>450</x:v>
      </x:c>
      <x:c r="B498" t="str">
        <x:v>Hard</x:v>
      </x:c>
      <x:c r="C498" t="n">
        <x:v>51</x:v>
      </x:c>
      <x:c r="D498" t="str">
        <x:v>N-Queens</x:v>
      </x:c>
      <x:c r="E498" t="str">
        <x:v>https://leetcode.com/problems/n-queens/</x:v>
      </x:c>
      <x:c r="F498" t="str">
        <x:v>Not Started</x:v>
      </x:c>
      <x:c r="G498" s="36" t="n">
        <x:v>46436</x:v>
      </x:c>
      <x:c r="H498"/>
    </x:row>
    <x:row r="499">
      <x:c r="A499" t="n">
        <x:v>451</x:v>
      </x:c>
      <x:c r="B499" t="str">
        <x:v>Hard</x:v>
      </x:c>
      <x:c r="C499" t="n">
        <x:v>52</x:v>
      </x:c>
      <x:c r="D499" t="str">
        <x:v>N-Queens II</x:v>
      </x:c>
      <x:c r="E499" t="str">
        <x:v>https://leetcode.com/problems/n-queens-ii/</x:v>
      </x:c>
      <x:c r="F499" t="str">
        <x:v>Not Started</x:v>
      </x:c>
      <x:c r="G499" s="36" t="n">
        <x:v>46437</x:v>
      </x:c>
      <x:c r="H499"/>
    </x:row>
    <x:row r="500">
      <x:c r="A500" t="n">
        <x:v>452</x:v>
      </x:c>
      <x:c r="B500" t="str">
        <x:v>Hard</x:v>
      </x:c>
      <x:c r="C500" t="n">
        <x:v>37</x:v>
      </x:c>
      <x:c r="D500" t="str">
        <x:v>Sudoku Solver</x:v>
      </x:c>
      <x:c r="E500" t="str">
        <x:v>https://leetcode.com/problems/sudoku-solver/</x:v>
      </x:c>
      <x:c r="F500" t="str">
        <x:v>Not Started</x:v>
      </x:c>
      <x:c r="G500" t="n">
        <x:v>46437</x:v>
      </x:c>
      <x:c r="H500"/>
    </x:row>
    <x:row r="501">
      <x:c r="A501" t="n">
        <x:v>453</x:v>
      </x:c>
      <x:c r="B501" t="str">
        <x:v>Hard</x:v>
      </x:c>
      <x:c r="C501" t="n">
        <x:v>282</x:v>
      </x:c>
      <x:c r="D501" t="str">
        <x:v>Expression Add Operators</x:v>
      </x:c>
      <x:c r="E501" t="str">
        <x:v>https://leetcode.com/problems/expression-add-operators/</x:v>
      </x:c>
      <x:c r="F501" t="str">
        <x:v>Not Started</x:v>
      </x:c>
      <x:c r="G501" t="n">
        <x:v>46437</x:v>
      </x:c>
      <x:c r="H501"/>
    </x:row>
    <x:row r="502">
      <x:c r="A502" s="59" t="n">
        <x:v>454</x:v>
      </x:c>
      <x:c r="B502" t="str">
        <x:v>Medium</x:v>
      </x:c>
      <x:c r="C502" t="n">
        <x:v>357</x:v>
      </x:c>
      <x:c r="D502" t="str">
        <x:v>Count Numbers with Unique Digits</x:v>
      </x:c>
      <x:c r="E502" t="str">
        <x:v>https://leetcode.com/problems/count-numbers-with-unique-digits/</x:v>
      </x:c>
      <x:c r="F502" t="str">
        <x:v>Not Started</x:v>
      </x:c>
      <x:c r="G502" t="n">
        <x:v>46438</x:v>
      </x:c>
      <x:c r="H502"/>
    </x:row>
    <x:row r="503">
      <x:c r="A503" s="63" t="n">
        <x:v>455</x:v>
      </x:c>
      <x:c r="B503" s="63" t="str">
        <x:v>Easy</x:v>
      </x:c>
      <x:c r="C503" s="63" t="n">
        <x:v>401</x:v>
      </x:c>
      <x:c r="D503" s="63" t="str">
        <x:v>Binary Watch</x:v>
      </x:c>
      <x:c r="E503" s="63" t="str">
        <x:v>https://leetcode.com/problems/binary-watch/</x:v>
      </x:c>
      <x:c r="F503" s="63" t="str">
        <x:v>Not Started</x:v>
      </x:c>
      <x:c r="G503" s="63" t="n">
        <x:v>46438</x:v>
      </x:c>
      <x:c r="H503" s="63"/>
    </x:row>
    <x:row r="504">
      <x:c r="A504"/>
      <x:c r="B504"/>
      <x:c r="C504"/>
      <x:c r="D504"/>
      <x:c r="E504"/>
      <x:c r="F504"/>
      <x:c r="G504" s="36"/>
      <x:c r="H504"/>
    </x:row>
    <x:row r="505">
      <x:c r="A505"/>
      <x:c r="B505"/>
      <x:c r="C505"/>
      <x:c r="D505"/>
      <x:c r="E505"/>
      <x:c r="F505"/>
      <x:c r="G505" s="36"/>
      <x:c r="H505"/>
    </x:row>
    <x:row r="506">
      <x:c r="A506" s="220" t="str">
        <x:v>Trie  —  15 problems</x:v>
      </x:c>
      <x:c r="B506" s="220"/>
      <x:c r="C506" s="220"/>
      <x:c r="D506" s="220"/>
      <x:c r="E506" s="220"/>
      <x:c r="F506" s="220"/>
      <x:c r="G506" s="227"/>
      <x:c r="H506" s="220"/>
    </x:row>
    <x:row r="507">
      <x:c r="A507" s="224" t="str">
        <x:v>Seq</x:v>
      </x:c>
      <x:c r="B507" s="224" t="str">
        <x:v>Difficulty</x:v>
      </x:c>
      <x:c r="C507" s="224" t="str">
        <x:v>LC ID</x:v>
      </x:c>
      <x:c r="D507" s="224" t="str">
        <x:v>Problem Title</x:v>
      </x:c>
      <x:c r="E507" s="224" t="str">
        <x:v>Problem URL</x:v>
      </x:c>
      <x:c r="F507" s="224" t="str">
        <x:v>Status</x:v>
      </x:c>
      <x:c r="G507" s="231" t="str">
        <x:v>Planned Date</x:v>
      </x:c>
      <x:c r="H507" s="224" t="str">
        <x:v>Notes</x:v>
      </x:c>
    </x:row>
    <x:row r="508">
      <x:c r="A508" t="n">
        <x:v>456</x:v>
      </x:c>
      <x:c r="B508" t="str">
        <x:v>Medium</x:v>
      </x:c>
      <x:c r="C508" t="n">
        <x:v>208</x:v>
      </x:c>
      <x:c r="D508" t="str">
        <x:v>Implement Trie (Prefix Tree)</x:v>
      </x:c>
      <x:c r="E508" t="str">
        <x:v>https://leetcode.com/problems/implement-trie-prefix-tree/</x:v>
      </x:c>
      <x:c r="F508" t="str">
        <x:v>Not Started</x:v>
      </x:c>
      <x:c r="G508" s="36" t="n">
        <x:v>46438</x:v>
      </x:c>
      <x:c r="H508"/>
    </x:row>
    <x:row r="509">
      <x:c r="A509" t="n">
        <x:v>457</x:v>
      </x:c>
      <x:c r="B509" t="str">
        <x:v>Medium</x:v>
      </x:c>
      <x:c r="C509" t="n">
        <x:v>211</x:v>
      </x:c>
      <x:c r="D509" t="str">
        <x:v>Design Add and Search Words Data Structure</x:v>
      </x:c>
      <x:c r="E509" t="str">
        <x:v>https://leetcode.com/problems/design-add-and-search-words-data-structure/</x:v>
      </x:c>
      <x:c r="F509" t="str">
        <x:v>Not Started</x:v>
      </x:c>
      <x:c r="G509" s="36" t="n">
        <x:v>46439</x:v>
      </x:c>
      <x:c r="H509"/>
    </x:row>
    <x:row r="510">
      <x:c r="A510" t="n">
        <x:v>458</x:v>
      </x:c>
      <x:c r="B510" t="str">
        <x:v>Hard</x:v>
      </x:c>
      <x:c r="C510" t="n">
        <x:v>336</x:v>
      </x:c>
      <x:c r="D510" t="str">
        <x:v>Palindrome Pairs</x:v>
      </x:c>
      <x:c r="E510" t="str">
        <x:v>https://leetcode.com/problems/palindrome-pairs/</x:v>
      </x:c>
      <x:c r="F510" t="str">
        <x:v>Not Started</x:v>
      </x:c>
      <x:c r="G510" s="36" t="n">
        <x:v>46439</x:v>
      </x:c>
      <x:c r="H510"/>
    </x:row>
    <x:row r="511">
      <x:c r="A511" t="n">
        <x:v>459</x:v>
      </x:c>
      <x:c r="B511" t="str">
        <x:v>Medium</x:v>
      </x:c>
      <x:c r="C511" t="n">
        <x:v>421</x:v>
      </x:c>
      <x:c r="D511" t="str">
        <x:v>Maximum XOR of Two Numbers in an Array</x:v>
      </x:c>
      <x:c r="E511" t="str">
        <x:v>https://leetcode.com/problems/maximum-xor-of-two-numbers-in-an-array/</x:v>
      </x:c>
      <x:c r="F511" t="str">
        <x:v>Not Started</x:v>
      </x:c>
      <x:c r="G511" s="36" t="n">
        <x:v>46439</x:v>
      </x:c>
      <x:c r="H511"/>
    </x:row>
    <x:row r="512">
      <x:c r="A512" t="n">
        <x:v>460</x:v>
      </x:c>
      <x:c r="B512" t="str">
        <x:v>Hard</x:v>
      </x:c>
      <x:c r="C512" t="n">
        <x:v>472</x:v>
      </x:c>
      <x:c r="D512" t="str">
        <x:v>Concatenated Words</x:v>
      </x:c>
      <x:c r="E512" t="str">
        <x:v>https://leetcode.com/problems/concatenated-words/</x:v>
      </x:c>
      <x:c r="F512" t="str">
        <x:v>Not Started</x:v>
      </x:c>
      <x:c r="G512" s="36" t="n">
        <x:v>46440</x:v>
      </x:c>
      <x:c r="H512"/>
    </x:row>
    <x:row r="513">
      <x:c r="A513" t="n">
        <x:v>461</x:v>
      </x:c>
      <x:c r="B513" t="str">
        <x:v>Medium</x:v>
      </x:c>
      <x:c r="C513" t="n">
        <x:v>648</x:v>
      </x:c>
      <x:c r="D513" t="str">
        <x:v>Replace Words</x:v>
      </x:c>
      <x:c r="E513" t="str">
        <x:v>https://leetcode.com/problems/replace-words/</x:v>
      </x:c>
      <x:c r="F513" t="str">
        <x:v>Not Started</x:v>
      </x:c>
      <x:c r="G513" s="36" t="n">
        <x:v>46440</x:v>
      </x:c>
      <x:c r="H513"/>
    </x:row>
    <x:row r="514">
      <x:c r="A514" t="n">
        <x:v>462</x:v>
      </x:c>
      <x:c r="B514" t="str">
        <x:v>Medium</x:v>
      </x:c>
      <x:c r="C514" t="n">
        <x:v>676</x:v>
      </x:c>
      <x:c r="D514" t="str">
        <x:v>Implement Magic Dictionary</x:v>
      </x:c>
      <x:c r="E514" t="str">
        <x:v>https://leetcode.com/problems/implement-magic-dictionary/</x:v>
      </x:c>
      <x:c r="F514" t="str">
        <x:v>Not Started</x:v>
      </x:c>
      <x:c r="G514" s="36" t="n">
        <x:v>46440</x:v>
      </x:c>
      <x:c r="H514"/>
    </x:row>
    <x:row r="515">
      <x:c r="A515" t="n">
        <x:v>463</x:v>
      </x:c>
      <x:c r="B515" t="str">
        <x:v>Medium</x:v>
      </x:c>
      <x:c r="C515" t="n">
        <x:v>677</x:v>
      </x:c>
      <x:c r="D515" t="str">
        <x:v>Map Sum Pairs</x:v>
      </x:c>
      <x:c r="E515" t="str">
        <x:v>https://leetcode.com/problems/map-sum-pairs/</x:v>
      </x:c>
      <x:c r="F515" t="str">
        <x:v>Not Started</x:v>
      </x:c>
      <x:c r="G515" s="36" t="n">
        <x:v>46441</x:v>
      </x:c>
      <x:c r="H515"/>
    </x:row>
    <x:row r="516">
      <x:c r="A516" t="n">
        <x:v>464</x:v>
      </x:c>
      <x:c r="B516" t="str">
        <x:v>Medium</x:v>
      </x:c>
      <x:c r="C516" t="n">
        <x:v>720</x:v>
      </x:c>
      <x:c r="D516" t="str">
        <x:v>Longest Word in Dictionary</x:v>
      </x:c>
      <x:c r="E516" t="str">
        <x:v>https://leetcode.com/problems/longest-word-in-dictionary/</x:v>
      </x:c>
      <x:c r="F516" t="str">
        <x:v>Not Started</x:v>
      </x:c>
      <x:c r="G516" s="36" t="n">
        <x:v>46441</x:v>
      </x:c>
      <x:c r="H516"/>
    </x:row>
    <x:row r="517">
      <x:c r="A517" t="n">
        <x:v>465</x:v>
      </x:c>
      <x:c r="B517" t="str">
        <x:v>Hard</x:v>
      </x:c>
      <x:c r="C517" t="n">
        <x:v>745</x:v>
      </x:c>
      <x:c r="D517" t="str">
        <x:v>Prefix and Suffix Search</x:v>
      </x:c>
      <x:c r="E517" t="str">
        <x:v>https://leetcode.com/problems/prefix-and-suffix-search/</x:v>
      </x:c>
      <x:c r="F517" t="str">
        <x:v>Not Started</x:v>
      </x:c>
      <x:c r="G517" s="36" t="n">
        <x:v>46441</x:v>
      </x:c>
      <x:c r="H517"/>
    </x:row>
    <x:row r="518">
      <x:c r="A518" t="n">
        <x:v>466</x:v>
      </x:c>
      <x:c r="B518" t="str">
        <x:v>Medium</x:v>
      </x:c>
      <x:c r="C518" t="n">
        <x:v>820</x:v>
      </x:c>
      <x:c r="D518" t="str">
        <x:v>Short Encoding of Words</x:v>
      </x:c>
      <x:c r="E518" t="str">
        <x:v>https://leetcode.com/problems/short-encoding-of-words/</x:v>
      </x:c>
      <x:c r="F518" t="str">
        <x:v>Not Started</x:v>
      </x:c>
      <x:c r="G518" s="36" t="n">
        <x:v>46442</x:v>
      </x:c>
      <x:c r="H518"/>
    </x:row>
    <x:row r="519">
      <x:c r="A519" t="n">
        <x:v>467</x:v>
      </x:c>
      <x:c r="B519" t="str">
        <x:v>Medium</x:v>
      </x:c>
      <x:c r="C519" t="n">
        <x:v>1023</x:v>
      </x:c>
      <x:c r="D519" t="str">
        <x:v>Camelcase Matching</x:v>
      </x:c>
      <x:c r="E519" t="str">
        <x:v>https://leetcode.com/problems/camelcase-matching/</x:v>
      </x:c>
      <x:c r="F519" t="str">
        <x:v>Not Started</x:v>
      </x:c>
      <x:c r="G519" t="n">
        <x:v>46442</x:v>
      </x:c>
      <x:c r="H519"/>
    </x:row>
    <x:row r="520">
      <x:c r="A520" t="n">
        <x:v>468</x:v>
      </x:c>
      <x:c r="B520" t="str">
        <x:v>Hard</x:v>
      </x:c>
      <x:c r="C520" t="n">
        <x:v>1032</x:v>
      </x:c>
      <x:c r="D520" t="str">
        <x:v>Stream of Characters</x:v>
      </x:c>
      <x:c r="E520" t="str">
        <x:v>https://leetcode.com/problems/stream-of-characters/</x:v>
      </x:c>
      <x:c r="F520" t="str">
        <x:v>Not Started</x:v>
      </x:c>
      <x:c r="G520" t="n">
        <x:v>46442</x:v>
      </x:c>
      <x:c r="H520"/>
    </x:row>
    <x:row r="521">
      <x:c r="A521" s="59" t="n">
        <x:v>469</x:v>
      </x:c>
      <x:c r="B521" t="str">
        <x:v>Medium</x:v>
      </x:c>
      <x:c r="C521" t="n">
        <x:v>1268</x:v>
      </x:c>
      <x:c r="D521" t="str">
        <x:v>Search Suggestions System</x:v>
      </x:c>
      <x:c r="E521" t="str">
        <x:v>https://leetcode.com/problems/search-suggestions-system/</x:v>
      </x:c>
      <x:c r="F521" t="str">
        <x:v>Not Started</x:v>
      </x:c>
      <x:c r="G521" t="n">
        <x:v>46443</x:v>
      </x:c>
      <x:c r="H521"/>
    </x:row>
    <x:row r="522">
      <x:c r="A522" s="63" t="n">
        <x:v>470</x:v>
      </x:c>
      <x:c r="B522" s="63" t="str">
        <x:v>Hard</x:v>
      </x:c>
      <x:c r="C522" s="63" t="n">
        <x:v>1707</x:v>
      </x:c>
      <x:c r="D522" s="63" t="str">
        <x:v>Maximum XOR With an Element From Array</x:v>
      </x:c>
      <x:c r="E522" s="63" t="str">
        <x:v>https://leetcode.com/problems/maximum-xor-with-an-element-from-array/</x:v>
      </x:c>
      <x:c r="F522" s="63" t="str">
        <x:v>Not Started</x:v>
      </x:c>
      <x:c r="G522" s="63" t="n">
        <x:v>46443</x:v>
      </x:c>
      <x:c r="H522" s="63"/>
    </x:row>
    <x:row r="523">
      <x:c r="A523"/>
      <x:c r="B523"/>
      <x:c r="C523"/>
      <x:c r="D523"/>
      <x:c r="E523"/>
      <x:c r="F523"/>
      <x:c r="G523" s="36"/>
      <x:c r="H523"/>
    </x:row>
    <x:row r="524">
      <x:c r="A524"/>
      <x:c r="B524"/>
      <x:c r="C524"/>
      <x:c r="D524"/>
      <x:c r="E524"/>
      <x:c r="F524"/>
      <x:c r="G524" s="36"/>
      <x:c r="H524"/>
    </x:row>
    <x:row r="525">
      <x:c r="A525" s="220" t="str">
        <x:v>Bit Manipulation / Math  —  30 problems</x:v>
      </x:c>
      <x:c r="B525" s="220"/>
      <x:c r="C525" s="220"/>
      <x:c r="D525" s="220"/>
      <x:c r="E525" s="220"/>
      <x:c r="F525" s="220"/>
      <x:c r="G525" s="227"/>
      <x:c r="H525" s="220"/>
    </x:row>
    <x:row r="526">
      <x:c r="A526" s="224" t="str">
        <x:v>Seq</x:v>
      </x:c>
      <x:c r="B526" s="224" t="str">
        <x:v>Difficulty</x:v>
      </x:c>
      <x:c r="C526" s="224" t="str">
        <x:v>LC ID</x:v>
      </x:c>
      <x:c r="D526" s="224" t="str">
        <x:v>Problem Title</x:v>
      </x:c>
      <x:c r="E526" s="224" t="str">
        <x:v>Problem URL</x:v>
      </x:c>
      <x:c r="F526" s="224" t="str">
        <x:v>Status</x:v>
      </x:c>
      <x:c r="G526" s="231" t="str">
        <x:v>Planned Date</x:v>
      </x:c>
      <x:c r="H526" s="224" t="str">
        <x:v>Notes</x:v>
      </x:c>
    </x:row>
    <x:row r="527">
      <x:c r="A527" t="n">
        <x:v>471</x:v>
      </x:c>
      <x:c r="B527" t="str">
        <x:v>Easy</x:v>
      </x:c>
      <x:c r="C527" t="n">
        <x:v>191</x:v>
      </x:c>
      <x:c r="D527" t="str">
        <x:v>Number of 1 Bits</x:v>
      </x:c>
      <x:c r="E527" t="str">
        <x:v>https://leetcode.com/problems/number-of-1-bits/</x:v>
      </x:c>
      <x:c r="F527" t="str">
        <x:v>Not Started</x:v>
      </x:c>
      <x:c r="G527" s="36" t="n">
        <x:v>46443</x:v>
      </x:c>
      <x:c r="H527"/>
    </x:row>
    <x:row r="528">
      <x:c r="A528" t="n">
        <x:v>472</x:v>
      </x:c>
      <x:c r="B528" t="str">
        <x:v>Easy</x:v>
      </x:c>
      <x:c r="C528" t="n">
        <x:v>231</x:v>
      </x:c>
      <x:c r="D528" t="str">
        <x:v>Power of Two</x:v>
      </x:c>
      <x:c r="E528" t="str">
        <x:v>https://leetcode.com/problems/power-of-two/</x:v>
      </x:c>
      <x:c r="F528" t="str">
        <x:v>Done</x:v>
      </x:c>
      <x:c r="G528" s="36"/>
      <x:c r="H528"/>
    </x:row>
    <x:row r="529">
      <x:c r="A529" t="n">
        <x:v>473</x:v>
      </x:c>
      <x:c r="B529" t="str">
        <x:v>Easy</x:v>
      </x:c>
      <x:c r="C529" t="n">
        <x:v>190</x:v>
      </x:c>
      <x:c r="D529" t="str">
        <x:v>Reverse Bits</x:v>
      </x:c>
      <x:c r="E529" t="str">
        <x:v>https://leetcode.com/problems/reverse-bits/</x:v>
      </x:c>
      <x:c r="F529" t="str">
        <x:v>Not Started</x:v>
      </x:c>
      <x:c r="G529" s="36" t="n">
        <x:v>46444</x:v>
      </x:c>
      <x:c r="H529"/>
    </x:row>
    <x:row r="530">
      <x:c r="A530" t="n">
        <x:v>474</x:v>
      </x:c>
      <x:c r="B530" t="str">
        <x:v>Easy</x:v>
      </x:c>
      <x:c r="C530" t="n">
        <x:v>338</x:v>
      </x:c>
      <x:c r="D530" t="str">
        <x:v>Counting Bits</x:v>
      </x:c>
      <x:c r="E530" t="str">
        <x:v>https://leetcode.com/problems/counting-bits/</x:v>
      </x:c>
      <x:c r="F530" t="str">
        <x:v>Not Started</x:v>
      </x:c>
      <x:c r="G530" s="36" t="n">
        <x:v>46444</x:v>
      </x:c>
      <x:c r="H530"/>
    </x:row>
    <x:row r="531">
      <x:c r="A531" t="n">
        <x:v>475</x:v>
      </x:c>
      <x:c r="B531" t="str">
        <x:v>Easy</x:v>
      </x:c>
      <x:c r="C531" t="n">
        <x:v>461</x:v>
      </x:c>
      <x:c r="D531" t="str">
        <x:v>Hamming Distance</x:v>
      </x:c>
      <x:c r="E531" t="str">
        <x:v>https://leetcode.com/problems/hamming-distance/</x:v>
      </x:c>
      <x:c r="F531" t="str">
        <x:v>Not Started</x:v>
      </x:c>
      <x:c r="G531" s="36" t="n">
        <x:v>46444</x:v>
      </x:c>
      <x:c r="H531"/>
    </x:row>
    <x:row r="532">
      <x:c r="A532" t="n">
        <x:v>476</x:v>
      </x:c>
      <x:c r="B532" t="str">
        <x:v>Medium</x:v>
      </x:c>
      <x:c r="C532" t="n">
        <x:v>371</x:v>
      </x:c>
      <x:c r="D532" t="str">
        <x:v>Sum of Two Integers</x:v>
      </x:c>
      <x:c r="E532" t="str">
        <x:v>https://leetcode.com/problems/sum-of-two-integers/</x:v>
      </x:c>
      <x:c r="F532" t="str">
        <x:v>Not Started</x:v>
      </x:c>
      <x:c r="G532" s="36" t="n">
        <x:v>46445</x:v>
      </x:c>
      <x:c r="H532"/>
    </x:row>
    <x:row r="533">
      <x:c r="A533" t="n">
        <x:v>477</x:v>
      </x:c>
      <x:c r="B533" t="str">
        <x:v>Medium</x:v>
      </x:c>
      <x:c r="C533" t="n">
        <x:v>201</x:v>
      </x:c>
      <x:c r="D533" t="str">
        <x:v>Bitwise AND of Numbers Range</x:v>
      </x:c>
      <x:c r="E533" t="str">
        <x:v>https://leetcode.com/problems/bitwise-and-of-numbers-range/</x:v>
      </x:c>
      <x:c r="F533" t="str">
        <x:v>Not Started</x:v>
      </x:c>
      <x:c r="G533" s="36" t="n">
        <x:v>46445</x:v>
      </x:c>
      <x:c r="H533"/>
    </x:row>
    <x:row r="534">
      <x:c r="A534" t="n">
        <x:v>478</x:v>
      </x:c>
      <x:c r="B534" t="str">
        <x:v>Medium</x:v>
      </x:c>
      <x:c r="C534" t="n">
        <x:v>50</x:v>
      </x:c>
      <x:c r="D534" t="str">
        <x:v>Pow(x, n)</x:v>
      </x:c>
      <x:c r="E534" t="str">
        <x:v>https://leetcode.com/problems/powx-n/</x:v>
      </x:c>
      <x:c r="F534" t="str">
        <x:v>Not Started</x:v>
      </x:c>
      <x:c r="G534" s="36" t="n">
        <x:v>46445</x:v>
      </x:c>
      <x:c r="H534"/>
    </x:row>
    <x:row r="535">
      <x:c r="A535" t="n">
        <x:v>479</x:v>
      </x:c>
      <x:c r="B535" t="str">
        <x:v>Medium</x:v>
      </x:c>
      <x:c r="C535" t="n">
        <x:v>7</x:v>
      </x:c>
      <x:c r="D535" t="str">
        <x:v>Reverse Integer</x:v>
      </x:c>
      <x:c r="E535" t="str">
        <x:v>https://leetcode.com/problems/reverse-integer/</x:v>
      </x:c>
      <x:c r="F535" t="str">
        <x:v>Not Started</x:v>
      </x:c>
      <x:c r="G535" s="36" t="n">
        <x:v>46446</x:v>
      </x:c>
      <x:c r="H535"/>
    </x:row>
    <x:row r="536">
      <x:c r="A536" t="n">
        <x:v>480</x:v>
      </x:c>
      <x:c r="B536" t="str">
        <x:v>Easy</x:v>
      </x:c>
      <x:c r="C536" t="n">
        <x:v>9</x:v>
      </x:c>
      <x:c r="D536" t="str">
        <x:v>Palindrome Number</x:v>
      </x:c>
      <x:c r="E536" t="str">
        <x:v>https://leetcode.com/problems/palindrome-number/</x:v>
      </x:c>
      <x:c r="F536" t="str">
        <x:v>Done</x:v>
      </x:c>
      <x:c r="G536" s="36"/>
      <x:c r="H536"/>
    </x:row>
    <x:row r="537">
      <x:c r="A537" t="n">
        <x:v>481</x:v>
      </x:c>
      <x:c r="B537" t="str">
        <x:v>Easy</x:v>
      </x:c>
      <x:c r="C537" t="n">
        <x:v>202</x:v>
      </x:c>
      <x:c r="D537" t="str">
        <x:v>Happy Number</x:v>
      </x:c>
      <x:c r="E537" t="str">
        <x:v>https://leetcode.com/problems/happy-number/</x:v>
      </x:c>
      <x:c r="F537" t="str">
        <x:v>Not Started</x:v>
      </x:c>
      <x:c r="G537" s="36" t="n">
        <x:v>46446</x:v>
      </x:c>
      <x:c r="H537"/>
    </x:row>
    <x:row r="538">
      <x:c r="A538" t="n">
        <x:v>482</x:v>
      </x:c>
      <x:c r="B538" t="str">
        <x:v>Easy</x:v>
      </x:c>
      <x:c r="C538" t="n">
        <x:v>263</x:v>
      </x:c>
      <x:c r="D538" t="str">
        <x:v>Ugly Number</x:v>
      </x:c>
      <x:c r="E538" t="str">
        <x:v>https://leetcode.com/problems/ugly-number/</x:v>
      </x:c>
      <x:c r="F538" t="str">
        <x:v>Not Started</x:v>
      </x:c>
      <x:c r="G538" s="36" t="n">
        <x:v>46446</x:v>
      </x:c>
      <x:c r="H538"/>
    </x:row>
    <x:row r="539">
      <x:c r="A539" t="n">
        <x:v>483</x:v>
      </x:c>
      <x:c r="B539" t="str">
        <x:v>Easy</x:v>
      </x:c>
      <x:c r="C539" t="n">
        <x:v>326</x:v>
      </x:c>
      <x:c r="D539" t="str">
        <x:v>Power of Three</x:v>
      </x:c>
      <x:c r="E539" t="str">
        <x:v>https://leetcode.com/problems/power-of-three/</x:v>
      </x:c>
      <x:c r="F539" t="str">
        <x:v>Done</x:v>
      </x:c>
      <x:c r="G539" s="36"/>
      <x:c r="H539"/>
    </x:row>
    <x:row r="540">
      <x:c r="A540" t="n">
        <x:v>484</x:v>
      </x:c>
      <x:c r="B540" t="str">
        <x:v>Easy</x:v>
      </x:c>
      <x:c r="C540" t="n">
        <x:v>342</x:v>
      </x:c>
      <x:c r="D540" t="str">
        <x:v>Power of Four</x:v>
      </x:c>
      <x:c r="E540" t="str">
        <x:v>https://leetcode.com/problems/power-of-four/</x:v>
      </x:c>
      <x:c r="F540" t="str">
        <x:v>Not Started</x:v>
      </x:c>
      <x:c r="G540" s="36" t="n">
        <x:v>46447</x:v>
      </x:c>
      <x:c r="H540"/>
    </x:row>
    <x:row r="541">
      <x:c r="A541" t="n">
        <x:v>485</x:v>
      </x:c>
      <x:c r="B541" t="str">
        <x:v>Easy</x:v>
      </x:c>
      <x:c r="C541" t="n">
        <x:v>412</x:v>
      </x:c>
      <x:c r="D541" t="str">
        <x:v>Fizz Buzz</x:v>
      </x:c>
      <x:c r="E541" t="str">
        <x:v>https://leetcode.com/problems/fizz-buzz/</x:v>
      </x:c>
      <x:c r="F541" t="str">
        <x:v>Not Started</x:v>
      </x:c>
      <x:c r="G541" s="36" t="n">
        <x:v>46447</x:v>
      </x:c>
      <x:c r="H541"/>
    </x:row>
    <x:row r="542">
      <x:c r="A542" t="n">
        <x:v>486</x:v>
      </x:c>
      <x:c r="B542" t="str">
        <x:v>Easy</x:v>
      </x:c>
      <x:c r="C542" t="n">
        <x:v>258</x:v>
      </x:c>
      <x:c r="D542" t="str">
        <x:v>Add Digits</x:v>
      </x:c>
      <x:c r="E542" t="str">
        <x:v>https://leetcode.com/problems/add-digits/</x:v>
      </x:c>
      <x:c r="F542" t="str">
        <x:v>Not Started</x:v>
      </x:c>
      <x:c r="G542" s="36" t="n">
        <x:v>46447</x:v>
      </x:c>
      <x:c r="H542"/>
    </x:row>
    <x:row r="543">
      <x:c r="A543" t="n">
        <x:v>487</x:v>
      </x:c>
      <x:c r="B543" t="str">
        <x:v>Medium</x:v>
      </x:c>
      <x:c r="C543" t="n">
        <x:v>204</x:v>
      </x:c>
      <x:c r="D543" t="str">
        <x:v>Count Primes</x:v>
      </x:c>
      <x:c r="E543" t="str">
        <x:v>https://leetcode.com/problems/count-primes/</x:v>
      </x:c>
      <x:c r="F543" t="str">
        <x:v>Not Started</x:v>
      </x:c>
      <x:c r="G543" s="36" t="n">
        <x:v>46448</x:v>
      </x:c>
      <x:c r="H543"/>
    </x:row>
    <x:row r="544">
      <x:c r="A544" t="n">
        <x:v>488</x:v>
      </x:c>
      <x:c r="B544" t="str">
        <x:v>Medium</x:v>
      </x:c>
      <x:c r="C544" t="n">
        <x:v>172</x:v>
      </x:c>
      <x:c r="D544" t="str">
        <x:v>Factorial Trailing Zeroes</x:v>
      </x:c>
      <x:c r="E544" t="str">
        <x:v>https://leetcode.com/problems/factorial-trailing-zeroes/</x:v>
      </x:c>
      <x:c r="F544" t="str">
        <x:v>Not Started</x:v>
      </x:c>
      <x:c r="G544" s="36" t="n">
        <x:v>46448</x:v>
      </x:c>
      <x:c r="H544"/>
    </x:row>
    <x:row r="545">
      <x:c r="A545" t="n">
        <x:v>489</x:v>
      </x:c>
      <x:c r="B545" t="str">
        <x:v>Medium</x:v>
      </x:c>
      <x:c r="C545" t="n">
        <x:v>319</x:v>
      </x:c>
      <x:c r="D545" t="str">
        <x:v>Bulb Switcher</x:v>
      </x:c>
      <x:c r="E545" t="str">
        <x:v>https://leetcode.com/problems/bulb-switcher/</x:v>
      </x:c>
      <x:c r="F545" t="str">
        <x:v>Not Started</x:v>
      </x:c>
      <x:c r="G545" s="36" t="n">
        <x:v>46448</x:v>
      </x:c>
      <x:c r="H545"/>
    </x:row>
    <x:row r="546">
      <x:c r="A546" t="n">
        <x:v>490</x:v>
      </x:c>
      <x:c r="B546" t="str">
        <x:v>Medium</x:v>
      </x:c>
      <x:c r="C546" t="n">
        <x:v>365</x:v>
      </x:c>
      <x:c r="D546" t="str">
        <x:v>Water and Jug Problem</x:v>
      </x:c>
      <x:c r="E546" t="str">
        <x:v>https://leetcode.com/problems/water-and-jug-problem/</x:v>
      </x:c>
      <x:c r="F546" t="str">
        <x:v>Not Started</x:v>
      </x:c>
      <x:c r="G546" s="36" t="n">
        <x:v>46449</x:v>
      </x:c>
      <x:c r="H546"/>
    </x:row>
    <x:row r="547">
      <x:c r="A547" t="n">
        <x:v>491</x:v>
      </x:c>
      <x:c r="B547" t="str">
        <x:v>Medium</x:v>
      </x:c>
      <x:c r="C547" t="n">
        <x:v>384</x:v>
      </x:c>
      <x:c r="D547" t="str">
        <x:v>Shuffle an Array</x:v>
      </x:c>
      <x:c r="E547" t="str">
        <x:v>https://leetcode.com/problems/shuffle-an-array/</x:v>
      </x:c>
      <x:c r="F547" t="str">
        <x:v>Not Started</x:v>
      </x:c>
      <x:c r="G547" s="36" t="n">
        <x:v>46449</x:v>
      </x:c>
      <x:c r="H547"/>
    </x:row>
    <x:row r="548">
      <x:c r="A548" t="n">
        <x:v>492</x:v>
      </x:c>
      <x:c r="B548" t="str">
        <x:v>Medium</x:v>
      </x:c>
      <x:c r="C548" t="n">
        <x:v>470</x:v>
      </x:c>
      <x:c r="D548" t="str">
        <x:v>Implement Rand10() Using Rand7()</x:v>
      </x:c>
      <x:c r="E548" t="str">
        <x:v>https://leetcode.com/problems/implement-rand10-using-rand7/</x:v>
      </x:c>
      <x:c r="F548" t="str">
        <x:v>Not Started</x:v>
      </x:c>
      <x:c r="G548" s="36" t="n">
        <x:v>46449</x:v>
      </x:c>
      <x:c r="H548"/>
    </x:row>
    <x:row r="549">
      <x:c r="A549" t="n">
        <x:v>493</x:v>
      </x:c>
      <x:c r="B549" t="str">
        <x:v>Medium</x:v>
      </x:c>
      <x:c r="C549" t="n">
        <x:v>528</x:v>
      </x:c>
      <x:c r="D549" t="str">
        <x:v>Random Pick with Weight</x:v>
      </x:c>
      <x:c r="E549" t="str">
        <x:v>https://leetcode.com/problems/random-pick-with-weight/</x:v>
      </x:c>
      <x:c r="F549" t="str">
        <x:v>Not Started</x:v>
      </x:c>
      <x:c r="G549" s="36" t="n">
        <x:v>46450</x:v>
      </x:c>
      <x:c r="H549"/>
    </x:row>
    <x:row r="550">
      <x:c r="A550" t="n">
        <x:v>494</x:v>
      </x:c>
      <x:c r="B550" t="str">
        <x:v>Medium</x:v>
      </x:c>
      <x:c r="C550" t="n">
        <x:v>535</x:v>
      </x:c>
      <x:c r="D550" t="str">
        <x:v>Encode and Decode TinyURL</x:v>
      </x:c>
      <x:c r="E550" t="str">
        <x:v>https://leetcode.com/problems/encode-and-decode-tinyurl/</x:v>
      </x:c>
      <x:c r="F550" t="str">
        <x:v>Not Started</x:v>
      </x:c>
      <x:c r="G550" s="36" t="n">
        <x:v>46450</x:v>
      </x:c>
      <x:c r="H550"/>
    </x:row>
    <x:row r="551">
      <x:c r="A551" t="n">
        <x:v>495</x:v>
      </x:c>
      <x:c r="B551" t="str">
        <x:v>Medium</x:v>
      </x:c>
      <x:c r="C551" t="n">
        <x:v>592</x:v>
      </x:c>
      <x:c r="D551" t="str">
        <x:v>Fraction Addition and Subtraction</x:v>
      </x:c>
      <x:c r="E551" t="str">
        <x:v>https://leetcode.com/problems/fraction-addition-and-subtraction/</x:v>
      </x:c>
      <x:c r="F551" t="str">
        <x:v>Not Started</x:v>
      </x:c>
      <x:c r="G551" s="36" t="n">
        <x:v>46450</x:v>
      </x:c>
      <x:c r="H551"/>
    </x:row>
    <x:row r="552">
      <x:c r="A552" t="n">
        <x:v>496</x:v>
      </x:c>
      <x:c r="B552" t="str">
        <x:v>Medium</x:v>
      </x:c>
      <x:c r="C552" t="n">
        <x:v>633</x:v>
      </x:c>
      <x:c r="D552" t="str">
        <x:v>Sum of Square Numbers</x:v>
      </x:c>
      <x:c r="E552" t="str">
        <x:v>https://leetcode.com/problems/sum-of-square-numbers/</x:v>
      </x:c>
      <x:c r="F552" t="str">
        <x:v>Not Started</x:v>
      </x:c>
      <x:c r="G552" s="36" t="n">
        <x:v>46451</x:v>
      </x:c>
      <x:c r="H552"/>
    </x:row>
    <x:row r="553">
      <x:c r="A553" t="n">
        <x:v>497</x:v>
      </x:c>
      <x:c r="B553" t="str">
        <x:v>Medium</x:v>
      </x:c>
      <x:c r="C553" t="n">
        <x:v>650</x:v>
      </x:c>
      <x:c r="D553" t="str">
        <x:v>2 Keys Keyboard</x:v>
      </x:c>
      <x:c r="E553" t="str">
        <x:v>https://leetcode.com/problems/2-keys-keyboard/</x:v>
      </x:c>
      <x:c r="F553" t="str">
        <x:v>Not Started</x:v>
      </x:c>
      <x:c r="G553" t="n">
        <x:v>46451</x:v>
      </x:c>
      <x:c r="H553"/>
    </x:row>
    <x:row r="554">
      <x:c r="A554" t="n">
        <x:v>498</x:v>
      </x:c>
      <x:c r="B554" t="str">
        <x:v>Medium</x:v>
      </x:c>
      <x:c r="C554" t="n">
        <x:v>754</x:v>
      </x:c>
      <x:c r="D554" t="str">
        <x:v>Reach a Number</x:v>
      </x:c>
      <x:c r="E554" t="str">
        <x:v>https://leetcode.com/problems/reach-a-number/</x:v>
      </x:c>
      <x:c r="F554" t="str">
        <x:v>Not Started</x:v>
      </x:c>
      <x:c r="G554" t="n">
        <x:v>46451</x:v>
      </x:c>
      <x:c r="H554"/>
    </x:row>
    <x:row r="555">
      <x:c r="A555" t="n">
        <x:v>499</x:v>
      </x:c>
      <x:c r="B555" t="str">
        <x:v>Medium</x:v>
      </x:c>
      <x:c r="C555" t="n">
        <x:v>781</x:v>
      </x:c>
      <x:c r="D555" t="str">
        <x:v>Rabbits in Forest</x:v>
      </x:c>
      <x:c r="E555" t="str">
        <x:v>https://leetcode.com/problems/rabbits-in-forest/</x:v>
      </x:c>
      <x:c r="F555" t="str">
        <x:v>Not Started</x:v>
      </x:c>
      <x:c r="G555" t="n">
        <x:v>46452</x:v>
      </x:c>
      <x:c r="H555"/>
    </x:row>
    <x:row r="556">
      <x:c r="A556" t="n">
        <x:v>500</x:v>
      </x:c>
      <x:c r="B556" t="str">
        <x:v>Easy</x:v>
      </x:c>
      <x:c r="C556" t="n">
        <x:v>836</x:v>
      </x:c>
      <x:c r="D556" t="str">
        <x:v>Rectangle Overlap</x:v>
      </x:c>
      <x:c r="E556" t="str">
        <x:v>https://leetcode.com/problems/rectangle-overlap/</x:v>
      </x:c>
      <x:c r="F556" t="str">
        <x:v>Not Started</x:v>
      </x:c>
      <x:c r="G556" t="n">
        <x:v>46452</x:v>
      </x:c>
      <x:c r="H556"/>
    </x:row>
    <x:row r="557">
      <x:c r="A557"/>
      <x:c r="B557"/>
      <x:c r="C557"/>
      <x:c r="D557"/>
      <x:c r="E557"/>
      <x:c r="F557"/>
      <x:c r="G557"/>
      <x:c r="H557"/>
    </x:row>
    <x:row r="558">
      <x:c r="A558"/>
      <x:c r="B558"/>
      <x:c r="C558"/>
      <x:c r="D558"/>
      <x:c r="E558"/>
      <x:c r="F558"/>
      <x:c r="G558"/>
      <x:c r="H558"/>
    </x:row>
  </x:sheetData>
  <x:mergeCells>
    <x:mergeCell ref="A1:H1"/>
    <x:mergeCell ref="A3:H3"/>
    <x:mergeCell ref="A72:H72"/>
    <x:mergeCell ref="A126:H126"/>
    <x:mergeCell ref="A160:H160"/>
    <x:mergeCell ref="A199:H199"/>
    <x:mergeCell ref="A238:H238"/>
    <x:mergeCell ref="A287:H287"/>
    <x:mergeCell ref="A336:H336"/>
    <x:mergeCell ref="A400:H400"/>
    <x:mergeCell ref="A434:H434"/>
    <x:mergeCell ref="A463:H463"/>
    <x:mergeCell ref="A502:H502"/>
    <x:mergeCell ref="A521:H521"/>
    <x:mergeCell ref="A477:H477"/>
    <x:mergeCell ref="A506:H506"/>
    <x:mergeCell ref="A525:H525"/>
  </x:mergeCells>
  <x:conditionalFormatting sqref="F3:F555">
    <x:cfRule type="expression" dxfId="3" priority="1">
      <x:formula>F3="Done"</x:formula>
    </x:cfRule>
    <x:cfRule type="expression" dxfId="4" priority="2">
      <x:formula>F3="In Progress"</x:formula>
    </x:cfRule>
  </x:conditionalFormatting>
  <x:pageMargins left="0.7" right="0.7" top="0.75" bottom="0.75" header="0.3" footer="0.3"/>
</x:worksheet>
</file>